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ortn-my.sharepoint.com/personal/sljones_ortn_edu/Documents/Documents/State of Tenn/"/>
    </mc:Choice>
  </mc:AlternateContent>
  <xr:revisionPtr revIDLastSave="0" documentId="8_{3467198C-C66E-49B2-9B97-570FBD7D0852}" xr6:coauthVersionLast="47" xr6:coauthVersionMax="47" xr10:uidLastSave="{00000000-0000-0000-0000-000000000000}"/>
  <bookViews>
    <workbookView xWindow="11380" yWindow="-10910" windowWidth="19420" windowHeight="10420" xr2:uid="{00000000-000D-0000-FFFF-FFFF00000000}"/>
  </bookViews>
  <sheets>
    <sheet name="TEACH C-1" sheetId="3" r:id="rId1"/>
    <sheet name="TEACH NEW C-2" sheetId="40" r:id="rId2"/>
    <sheet name="PSYCH C-3" sheetId="4" r:id="rId3"/>
    <sheet name="COORDCOUNS C-4" sheetId="50" r:id="rId4"/>
    <sheet name="PSYCOORDCOUNS NEW C-5" sheetId="49" r:id="rId5"/>
    <sheet name="CATIF C-6" sheetId="44" r:id="rId6"/>
    <sheet name="DATA COORD C-7" sheetId="42" r:id="rId7"/>
    <sheet name="SUPERV LIC C-8" sheetId="46" r:id="rId8"/>
    <sheet name="EP C-9" sheetId="7" r:id="rId9"/>
    <sheet name="EAP C-10" sheetId="41" r:id="rId10"/>
    <sheet name="DEANs C-11" sheetId="39" r:id="rId11"/>
    <sheet name="MSAP C-12" sheetId="8" r:id="rId12"/>
    <sheet name="MSP C-13" sheetId="9" r:id="rId13"/>
    <sheet name="HSAP C-14" sheetId="10" r:id="rId14"/>
    <sheet name="HSP C-15" sheetId="11" r:id="rId15"/>
    <sheet name="PLC C-16" sheetId="47" r:id="rId16"/>
    <sheet name="COACH C-17" sheetId="13" r:id="rId17"/>
    <sheet name="SUBS C-18" sheetId="21" r:id="rId18"/>
    <sheet name="District Support Staff D-1 " sheetId="54" r:id="rId19"/>
    <sheet name="District Support Staff D-2 " sheetId="55" r:id="rId20"/>
    <sheet name="TA D-3" sheetId="15" r:id="rId21"/>
    <sheet name="PARA D-4" sheetId="31" r:id="rId22"/>
    <sheet name="CUS D-5" sheetId="19" r:id="rId23"/>
    <sheet name="CUSN D-6" sheetId="38" r:id="rId24"/>
    <sheet name="FS D-7" sheetId="18" r:id="rId25"/>
    <sheet name="ACCUM" sheetId="1" state="hidden" r:id="rId26"/>
    <sheet name="APP GUIDE" sheetId="45" r:id="rId27"/>
    <sheet name="PSYCs" sheetId="5" state="hidden" r:id="rId28"/>
    <sheet name="OTPT" sheetId="25" state="hidden" r:id="rId29"/>
    <sheet name="RN COOR" sheetId="30" state="hidden" r:id="rId30"/>
    <sheet name="LICSUPVR" sheetId="43" state="hidden" r:id="rId31"/>
    <sheet name="DIR" sheetId="12" state="hidden" r:id="rId32"/>
    <sheet name="INT" sheetId="28" state="hidden" r:id="rId33"/>
    <sheet name="SPMED" sheetId="29" state="hidden" r:id="rId34"/>
    <sheet name="ITC" sheetId="34" state="hidden" r:id="rId35"/>
    <sheet name="ECCDIR" sheetId="26" state="hidden" r:id="rId36"/>
    <sheet name="ECC" sheetId="16" state="hidden" r:id="rId37"/>
    <sheet name="MAIN" sheetId="17" state="hidden" r:id="rId38"/>
    <sheet name="RN" sheetId="32" state="hidden" r:id="rId39"/>
    <sheet name="TECH" sheetId="27" state="hidden" r:id="rId40"/>
    <sheet name="COTA" sheetId="36" state="hidden" r:id="rId41"/>
  </sheets>
  <definedNames>
    <definedName name="_xlnm.Print_Area" localSheetId="5">'CATIF C-6'!$A$1:$K$24</definedName>
    <definedName name="_xlnm.Print_Area" localSheetId="16">'COACH C-17'!$A$1:$I$57</definedName>
    <definedName name="_xlnm.Print_Area" localSheetId="3">'COORDCOUNS C-4'!$B$2:$L$25</definedName>
    <definedName name="_xlnm.Print_Area" localSheetId="40">COTA!$A$1:$H$18</definedName>
    <definedName name="_xlnm.Print_Area" localSheetId="22">'CUS D-5'!$A$1:$I$26</definedName>
    <definedName name="_xlnm.Print_Area" localSheetId="23">'CUSN D-6'!$B$2:$G$18</definedName>
    <definedName name="_xlnm.Print_Area" localSheetId="6">'DATA COORD C-7'!$A$1:$I$33</definedName>
    <definedName name="_xlnm.Print_Area" localSheetId="10">'DEANs C-11'!$A$1:$I$28</definedName>
    <definedName name="_xlnm.Print_Area" localSheetId="31">DIR!$A$1:$E$13</definedName>
    <definedName name="_xlnm.Print_Area" localSheetId="18">'District Support Staff D-1 '!$A$3:$AA$33</definedName>
    <definedName name="_xlnm.Print_Area" localSheetId="19">'District Support Staff D-2 '!$A$2:$AA$19</definedName>
    <definedName name="_xlnm.Print_Area" localSheetId="9">'EAP C-10'!$A$1:$I$30</definedName>
    <definedName name="_xlnm.Print_Area" localSheetId="36">ECC!$B$2:$P$25</definedName>
    <definedName name="_xlnm.Print_Area" localSheetId="35">ECCDIR!$A$1:$H$16</definedName>
    <definedName name="_xlnm.Print_Area" localSheetId="8">'EP C-9'!$A$1:$H$27</definedName>
    <definedName name="_xlnm.Print_Area" localSheetId="24">'FS D-7'!$A$1:$I$19</definedName>
    <definedName name="_xlnm.Print_Area" localSheetId="13">'HSAP C-14'!$A$1:$I$27</definedName>
    <definedName name="_xlnm.Print_Area" localSheetId="14">'HSP C-15'!$A$1:$H$28</definedName>
    <definedName name="_xlnm.Print_Area" localSheetId="32">INT!$A$1:$F$20</definedName>
    <definedName name="_xlnm.Print_Area" localSheetId="34">ITC!$A$1:$L$25</definedName>
    <definedName name="_xlnm.Print_Area" localSheetId="30">LICSUPVR!$A$1:$G$24</definedName>
    <definedName name="_xlnm.Print_Area" localSheetId="37">MAIN!$A$1:$G$21</definedName>
    <definedName name="_xlnm.Print_Area" localSheetId="11">'MSAP C-12'!$A$1:$I$27</definedName>
    <definedName name="_xlnm.Print_Area" localSheetId="12">'MSP C-13'!$A$1:$H$28</definedName>
    <definedName name="_xlnm.Print_Area" localSheetId="28">OTPT!$A$1:$F$16</definedName>
    <definedName name="_xlnm.Print_Area" localSheetId="21">'PARA D-4'!$A$1:$P$10</definedName>
    <definedName name="_xlnm.Print_Area" localSheetId="15">'PLC C-16'!$A$2:$L$26</definedName>
    <definedName name="_xlnm.Print_Area" localSheetId="2">'PSYCH C-3'!$A$1:$H$24</definedName>
    <definedName name="_xlnm.Print_Area" localSheetId="4">'PSYCOORDCOUNS NEW C-5'!$A$1:$K$30</definedName>
    <definedName name="_xlnm.Print_Area" localSheetId="27">PSYCs!$A$1:$G$25</definedName>
    <definedName name="_xlnm.Print_Area" localSheetId="38">RN!$A$1:$H$16</definedName>
    <definedName name="_xlnm.Print_Area" localSheetId="29">'RN COOR'!$A$1:$F$25</definedName>
    <definedName name="_xlnm.Print_Area" localSheetId="33">SPMED!$A$1:$F$16</definedName>
    <definedName name="_xlnm.Print_Area" localSheetId="17">'SUBS C-18'!$A$1:$F$22</definedName>
    <definedName name="_xlnm.Print_Area" localSheetId="7">'SUPERV LIC C-8'!$A$1:$H$27</definedName>
    <definedName name="_xlnm.Print_Area" localSheetId="20">'TA D-3'!$A$1:$P$15</definedName>
    <definedName name="_xlnm.Print_Area" localSheetId="0">'TEACH C-1'!$A$1:$L$26</definedName>
    <definedName name="_xlnm.Print_Area" localSheetId="1">'TEACH NEW C-2'!$A$1:$K$30</definedName>
    <definedName name="_xlnm.Print_Area" localSheetId="39">TECH!$A$1:$G$13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16" i="55" l="1"/>
  <c r="Z16" i="55"/>
  <c r="Y16" i="55"/>
  <c r="X16" i="55"/>
  <c r="W16" i="55"/>
  <c r="V16" i="55"/>
  <c r="U16" i="55"/>
  <c r="T16" i="55"/>
  <c r="S16" i="55"/>
  <c r="R16" i="55"/>
  <c r="Q16" i="55"/>
  <c r="P16" i="55"/>
  <c r="O16" i="55"/>
  <c r="N16" i="55"/>
  <c r="M16" i="55"/>
  <c r="L16" i="55"/>
  <c r="K16" i="55"/>
  <c r="J16" i="55"/>
  <c r="I16" i="55"/>
  <c r="H16" i="55"/>
  <c r="G16" i="55"/>
  <c r="AA15" i="55"/>
  <c r="Z15" i="55"/>
  <c r="Y15" i="55"/>
  <c r="X15" i="55"/>
  <c r="W15" i="55"/>
  <c r="V15" i="55"/>
  <c r="U15" i="55"/>
  <c r="T15" i="55"/>
  <c r="S15" i="55"/>
  <c r="R15" i="55"/>
  <c r="Q15" i="55"/>
  <c r="P15" i="55"/>
  <c r="O15" i="55"/>
  <c r="N15" i="55"/>
  <c r="M15" i="55"/>
  <c r="L15" i="55"/>
  <c r="K15" i="55"/>
  <c r="J15" i="55"/>
  <c r="I15" i="55"/>
  <c r="H15" i="55"/>
  <c r="G15" i="55"/>
  <c r="AA14" i="55"/>
  <c r="Z14" i="55"/>
  <c r="Y14" i="55"/>
  <c r="X14" i="55"/>
  <c r="W14" i="55"/>
  <c r="V14" i="55"/>
  <c r="U14" i="55"/>
  <c r="T14" i="55"/>
  <c r="S14" i="55"/>
  <c r="R14" i="55"/>
  <c r="Q14" i="55"/>
  <c r="P14" i="55"/>
  <c r="O14" i="55"/>
  <c r="N14" i="55"/>
  <c r="M14" i="55"/>
  <c r="L14" i="55"/>
  <c r="K14" i="55"/>
  <c r="J14" i="55"/>
  <c r="I14" i="55"/>
  <c r="H14" i="55"/>
  <c r="G14" i="55"/>
  <c r="AA13" i="55"/>
  <c r="Z13" i="55"/>
  <c r="Y13" i="55"/>
  <c r="X13" i="55"/>
  <c r="W13" i="55"/>
  <c r="V13" i="55"/>
  <c r="U13" i="55"/>
  <c r="T13" i="55"/>
  <c r="S13" i="55"/>
  <c r="R13" i="55"/>
  <c r="Q13" i="55"/>
  <c r="P13" i="55"/>
  <c r="O13" i="55"/>
  <c r="N13" i="55"/>
  <c r="M13" i="55"/>
  <c r="L13" i="55"/>
  <c r="K13" i="55"/>
  <c r="J13" i="55"/>
  <c r="I13" i="55"/>
  <c r="H13" i="55"/>
  <c r="G13" i="55"/>
  <c r="AA12" i="55"/>
  <c r="Z12" i="55"/>
  <c r="Y12" i="55"/>
  <c r="X12" i="55"/>
  <c r="W12" i="55"/>
  <c r="V12" i="55"/>
  <c r="U12" i="55"/>
  <c r="T12" i="55"/>
  <c r="S12" i="55"/>
  <c r="R12" i="55"/>
  <c r="Q12" i="55"/>
  <c r="P12" i="55"/>
  <c r="O12" i="55"/>
  <c r="N12" i="55"/>
  <c r="M12" i="55"/>
  <c r="L12" i="55"/>
  <c r="K12" i="55"/>
  <c r="J12" i="55"/>
  <c r="I12" i="55"/>
  <c r="H12" i="55"/>
  <c r="G12" i="55"/>
  <c r="AA11" i="55"/>
  <c r="Z11" i="55"/>
  <c r="Y11" i="55"/>
  <c r="X11" i="55"/>
  <c r="W11" i="55"/>
  <c r="V11" i="55"/>
  <c r="U11" i="55"/>
  <c r="T11" i="55"/>
  <c r="S11" i="55"/>
  <c r="R11" i="55"/>
  <c r="Q11" i="55"/>
  <c r="P11" i="55"/>
  <c r="O11" i="55"/>
  <c r="N11" i="55"/>
  <c r="M11" i="55"/>
  <c r="L11" i="55"/>
  <c r="K11" i="55"/>
  <c r="J11" i="55"/>
  <c r="I11" i="55"/>
  <c r="H11" i="55"/>
  <c r="G11" i="55"/>
  <c r="AA10" i="55"/>
  <c r="Z10" i="55"/>
  <c r="Y10" i="55"/>
  <c r="X10" i="55"/>
  <c r="W10" i="55"/>
  <c r="V10" i="55"/>
  <c r="U10" i="55"/>
  <c r="T10" i="55"/>
  <c r="S10" i="55"/>
  <c r="R10" i="55"/>
  <c r="Q10" i="55"/>
  <c r="P10" i="55"/>
  <c r="O10" i="55"/>
  <c r="N10" i="55"/>
  <c r="M10" i="55"/>
  <c r="L10" i="55"/>
  <c r="K10" i="55"/>
  <c r="J10" i="55"/>
  <c r="I10" i="55"/>
  <c r="H10" i="55"/>
  <c r="G10" i="55"/>
  <c r="AA9" i="55"/>
  <c r="Z9" i="55"/>
  <c r="Y9" i="55"/>
  <c r="X9" i="55"/>
  <c r="W9" i="55"/>
  <c r="V9" i="55"/>
  <c r="U9" i="55"/>
  <c r="T9" i="55"/>
  <c r="S9" i="55"/>
  <c r="R9" i="55"/>
  <c r="Q9" i="55"/>
  <c r="P9" i="55"/>
  <c r="O9" i="55"/>
  <c r="N9" i="55"/>
  <c r="M9" i="55"/>
  <c r="L9" i="55"/>
  <c r="K9" i="55"/>
  <c r="J9" i="55"/>
  <c r="I9" i="55"/>
  <c r="H9" i="55"/>
  <c r="G9" i="55"/>
  <c r="AA8" i="55"/>
  <c r="Z8" i="55"/>
  <c r="Y8" i="55"/>
  <c r="X8" i="55"/>
  <c r="W8" i="55"/>
  <c r="V8" i="55"/>
  <c r="U8" i="55"/>
  <c r="T8" i="55"/>
  <c r="S8" i="55"/>
  <c r="R8" i="55"/>
  <c r="Q8" i="55"/>
  <c r="P8" i="55"/>
  <c r="O8" i="55"/>
  <c r="N8" i="55"/>
  <c r="M8" i="55"/>
  <c r="L8" i="55"/>
  <c r="K8" i="55"/>
  <c r="J8" i="55"/>
  <c r="I8" i="55"/>
  <c r="H8" i="55"/>
  <c r="G8" i="55"/>
  <c r="AA7" i="55"/>
  <c r="Z7" i="55"/>
  <c r="Y7" i="55"/>
  <c r="X7" i="55"/>
  <c r="W7" i="55"/>
  <c r="V7" i="55"/>
  <c r="U7" i="55"/>
  <c r="T7" i="55"/>
  <c r="S7" i="55"/>
  <c r="R7" i="55"/>
  <c r="Q7" i="55"/>
  <c r="P7" i="55"/>
  <c r="O7" i="55"/>
  <c r="N7" i="55"/>
  <c r="M7" i="55"/>
  <c r="L7" i="55"/>
  <c r="K7" i="55"/>
  <c r="J7" i="55"/>
  <c r="I7" i="55"/>
  <c r="H7" i="55"/>
  <c r="G7" i="55"/>
  <c r="AA6" i="55"/>
  <c r="Z6" i="55"/>
  <c r="Y6" i="55"/>
  <c r="X6" i="55"/>
  <c r="W6" i="55"/>
  <c r="V6" i="55"/>
  <c r="U6" i="55"/>
  <c r="T6" i="55"/>
  <c r="S6" i="55"/>
  <c r="R6" i="55"/>
  <c r="Q6" i="55"/>
  <c r="P6" i="55"/>
  <c r="O6" i="55"/>
  <c r="N6" i="55"/>
  <c r="M6" i="55"/>
  <c r="L6" i="55"/>
  <c r="K6" i="55"/>
  <c r="J6" i="55"/>
  <c r="I6" i="55"/>
  <c r="H6" i="55"/>
  <c r="G6" i="55"/>
  <c r="AA5" i="55"/>
  <c r="Z5" i="55"/>
  <c r="Y5" i="55"/>
  <c r="X5" i="55"/>
  <c r="W5" i="55"/>
  <c r="V5" i="55"/>
  <c r="U5" i="55"/>
  <c r="T5" i="55"/>
  <c r="S5" i="55"/>
  <c r="R5" i="55"/>
  <c r="Q5" i="55"/>
  <c r="P5" i="55"/>
  <c r="O5" i="55"/>
  <c r="N5" i="55"/>
  <c r="M5" i="55"/>
  <c r="L5" i="55"/>
  <c r="K5" i="55"/>
  <c r="J5" i="55"/>
  <c r="I5" i="55"/>
  <c r="H5" i="55"/>
  <c r="G5" i="55"/>
  <c r="AA31" i="54"/>
  <c r="Z31" i="54"/>
  <c r="Y31" i="54"/>
  <c r="X31" i="54"/>
  <c r="W31" i="54"/>
  <c r="V31" i="54"/>
  <c r="U31" i="54"/>
  <c r="T31" i="54"/>
  <c r="S31" i="54"/>
  <c r="R31" i="54"/>
  <c r="Q31" i="54"/>
  <c r="P31" i="54"/>
  <c r="O31" i="54"/>
  <c r="N31" i="54"/>
  <c r="M31" i="54"/>
  <c r="L31" i="54"/>
  <c r="K31" i="54"/>
  <c r="J31" i="54"/>
  <c r="I31" i="54"/>
  <c r="H31" i="54"/>
  <c r="G31" i="54"/>
  <c r="AA30" i="54"/>
  <c r="Z30" i="54"/>
  <c r="Y30" i="54"/>
  <c r="X30" i="54"/>
  <c r="W30" i="54"/>
  <c r="V30" i="54"/>
  <c r="U30" i="54"/>
  <c r="T30" i="54"/>
  <c r="S30" i="54"/>
  <c r="R30" i="54"/>
  <c r="Q30" i="54"/>
  <c r="P30" i="54"/>
  <c r="O30" i="54"/>
  <c r="N30" i="54"/>
  <c r="M30" i="54"/>
  <c r="L30" i="54"/>
  <c r="K30" i="54"/>
  <c r="J30" i="54"/>
  <c r="I30" i="54"/>
  <c r="H30" i="54"/>
  <c r="G30" i="54"/>
  <c r="AA29" i="54"/>
  <c r="Z29" i="54"/>
  <c r="Y29" i="54"/>
  <c r="X29" i="54"/>
  <c r="W29" i="54"/>
  <c r="V29" i="54"/>
  <c r="U29" i="54"/>
  <c r="T29" i="54"/>
  <c r="S29" i="54"/>
  <c r="R29" i="54"/>
  <c r="Q29" i="54"/>
  <c r="P29" i="54"/>
  <c r="O29" i="54"/>
  <c r="N29" i="54"/>
  <c r="M29" i="54"/>
  <c r="L29" i="54"/>
  <c r="K29" i="54"/>
  <c r="J29" i="54"/>
  <c r="I29" i="54"/>
  <c r="H29" i="54"/>
  <c r="G29" i="54"/>
  <c r="AA28" i="54"/>
  <c r="Z28" i="54"/>
  <c r="Y28" i="54"/>
  <c r="X28" i="54"/>
  <c r="W28" i="54"/>
  <c r="V28" i="54"/>
  <c r="U28" i="54"/>
  <c r="T28" i="54"/>
  <c r="S28" i="54"/>
  <c r="R28" i="54"/>
  <c r="Q28" i="54"/>
  <c r="P28" i="54"/>
  <c r="O28" i="54"/>
  <c r="N28" i="54"/>
  <c r="M28" i="54"/>
  <c r="L28" i="54"/>
  <c r="K28" i="54"/>
  <c r="J28" i="54"/>
  <c r="I28" i="54"/>
  <c r="H28" i="54"/>
  <c r="G28" i="54"/>
  <c r="AA27" i="54"/>
  <c r="Z27" i="54"/>
  <c r="Y27" i="54"/>
  <c r="X27" i="54"/>
  <c r="W27" i="54"/>
  <c r="V27" i="54"/>
  <c r="U27" i="54"/>
  <c r="T27" i="54"/>
  <c r="S27" i="54"/>
  <c r="R27" i="54"/>
  <c r="Q27" i="54"/>
  <c r="P27" i="54"/>
  <c r="O27" i="54"/>
  <c r="N27" i="54"/>
  <c r="M27" i="54"/>
  <c r="L27" i="54"/>
  <c r="K27" i="54"/>
  <c r="J27" i="54"/>
  <c r="I27" i="54"/>
  <c r="H27" i="54"/>
  <c r="G27" i="54"/>
  <c r="AA26" i="54"/>
  <c r="Z26" i="54"/>
  <c r="Y26" i="54"/>
  <c r="X26" i="54"/>
  <c r="W26" i="54"/>
  <c r="V26" i="54"/>
  <c r="U26" i="54"/>
  <c r="T26" i="54"/>
  <c r="S26" i="54"/>
  <c r="R26" i="54"/>
  <c r="Q26" i="54"/>
  <c r="P26" i="54"/>
  <c r="O26" i="54"/>
  <c r="N26" i="54"/>
  <c r="M26" i="54"/>
  <c r="L26" i="54"/>
  <c r="K26" i="54"/>
  <c r="J26" i="54"/>
  <c r="I26" i="54"/>
  <c r="H26" i="54"/>
  <c r="G26" i="54"/>
  <c r="AA25" i="54"/>
  <c r="Z25" i="54"/>
  <c r="Y25" i="54"/>
  <c r="X25" i="54"/>
  <c r="W25" i="54"/>
  <c r="V25" i="54"/>
  <c r="U25" i="54"/>
  <c r="T25" i="54"/>
  <c r="S25" i="54"/>
  <c r="R25" i="54"/>
  <c r="Q25" i="54"/>
  <c r="P25" i="54"/>
  <c r="O25" i="54"/>
  <c r="N25" i="54"/>
  <c r="M25" i="54"/>
  <c r="L25" i="54"/>
  <c r="K25" i="54"/>
  <c r="J25" i="54"/>
  <c r="I25" i="54"/>
  <c r="H25" i="54"/>
  <c r="G25" i="54"/>
  <c r="AA24" i="54"/>
  <c r="Z24" i="54"/>
  <c r="Y24" i="54"/>
  <c r="X24" i="54"/>
  <c r="W24" i="54"/>
  <c r="V24" i="54"/>
  <c r="U24" i="54"/>
  <c r="T24" i="54"/>
  <c r="S24" i="54"/>
  <c r="R24" i="54"/>
  <c r="Q24" i="54"/>
  <c r="P24" i="54"/>
  <c r="O24" i="54"/>
  <c r="N24" i="54"/>
  <c r="M24" i="54"/>
  <c r="L24" i="54"/>
  <c r="K24" i="54"/>
  <c r="J24" i="54"/>
  <c r="I24" i="54"/>
  <c r="H24" i="54"/>
  <c r="G24" i="54"/>
  <c r="AA23" i="54"/>
  <c r="Z23" i="54"/>
  <c r="Y23" i="54"/>
  <c r="X23" i="54"/>
  <c r="W23" i="54"/>
  <c r="V23" i="54"/>
  <c r="U23" i="54"/>
  <c r="T23" i="54"/>
  <c r="S23" i="54"/>
  <c r="R23" i="54"/>
  <c r="Q23" i="54"/>
  <c r="P23" i="54"/>
  <c r="O23" i="54"/>
  <c r="N23" i="54"/>
  <c r="M23" i="54"/>
  <c r="L23" i="54"/>
  <c r="K23" i="54"/>
  <c r="J23" i="54"/>
  <c r="I23" i="54"/>
  <c r="H23" i="54"/>
  <c r="G23" i="54"/>
  <c r="AA22" i="54"/>
  <c r="Z22" i="54"/>
  <c r="Y22" i="54"/>
  <c r="X22" i="54"/>
  <c r="W22" i="54"/>
  <c r="V22" i="54"/>
  <c r="U22" i="54"/>
  <c r="T22" i="54"/>
  <c r="S22" i="54"/>
  <c r="R22" i="54"/>
  <c r="Q22" i="54"/>
  <c r="P22" i="54"/>
  <c r="O22" i="54"/>
  <c r="N22" i="54"/>
  <c r="M22" i="54"/>
  <c r="L22" i="54"/>
  <c r="K22" i="54"/>
  <c r="J22" i="54"/>
  <c r="I22" i="54"/>
  <c r="H22" i="54"/>
  <c r="G22" i="54"/>
  <c r="AA21" i="54"/>
  <c r="Z21" i="54"/>
  <c r="Y21" i="54"/>
  <c r="X21" i="54"/>
  <c r="W21" i="54"/>
  <c r="V21" i="54"/>
  <c r="U21" i="54"/>
  <c r="T21" i="54"/>
  <c r="S21" i="54"/>
  <c r="R21" i="54"/>
  <c r="Q21" i="54"/>
  <c r="P21" i="54"/>
  <c r="O21" i="54"/>
  <c r="N21" i="54"/>
  <c r="M21" i="54"/>
  <c r="L21" i="54"/>
  <c r="K21" i="54"/>
  <c r="J21" i="54"/>
  <c r="I21" i="54"/>
  <c r="H21" i="54"/>
  <c r="G21" i="54"/>
  <c r="AA20" i="54"/>
  <c r="Z20" i="54"/>
  <c r="Y20" i="54"/>
  <c r="X20" i="54"/>
  <c r="W20" i="54"/>
  <c r="V20" i="54"/>
  <c r="U20" i="54"/>
  <c r="T20" i="54"/>
  <c r="S20" i="54"/>
  <c r="R20" i="54"/>
  <c r="Q20" i="54"/>
  <c r="P20" i="54"/>
  <c r="O20" i="54"/>
  <c r="N20" i="54"/>
  <c r="M20" i="54"/>
  <c r="L20" i="54"/>
  <c r="K20" i="54"/>
  <c r="J20" i="54"/>
  <c r="I20" i="54"/>
  <c r="H20" i="54"/>
  <c r="G20" i="54"/>
  <c r="AA19" i="54"/>
  <c r="Z19" i="54"/>
  <c r="Y19" i="54"/>
  <c r="X19" i="54"/>
  <c r="W19" i="54"/>
  <c r="V19" i="54"/>
  <c r="U19" i="54"/>
  <c r="T19" i="54"/>
  <c r="S19" i="54"/>
  <c r="R19" i="54"/>
  <c r="Q19" i="54"/>
  <c r="P19" i="54"/>
  <c r="O19" i="54"/>
  <c r="N19" i="54"/>
  <c r="M19" i="54"/>
  <c r="L19" i="54"/>
  <c r="K19" i="54"/>
  <c r="J19" i="54"/>
  <c r="I19" i="54"/>
  <c r="H19" i="54"/>
  <c r="G19" i="54"/>
  <c r="AA18" i="54"/>
  <c r="Z18" i="54"/>
  <c r="Y18" i="54"/>
  <c r="X18" i="54"/>
  <c r="W18" i="54"/>
  <c r="V18" i="54"/>
  <c r="U18" i="54"/>
  <c r="T18" i="54"/>
  <c r="S18" i="54"/>
  <c r="R18" i="54"/>
  <c r="Q18" i="54"/>
  <c r="P18" i="54"/>
  <c r="O18" i="54"/>
  <c r="N18" i="54"/>
  <c r="M18" i="54"/>
  <c r="L18" i="54"/>
  <c r="K18" i="54"/>
  <c r="J18" i="54"/>
  <c r="I18" i="54"/>
  <c r="H18" i="54"/>
  <c r="G18" i="54"/>
  <c r="AA17" i="54"/>
  <c r="Z17" i="54"/>
  <c r="Y17" i="54"/>
  <c r="X17" i="54"/>
  <c r="W17" i="54"/>
  <c r="V17" i="54"/>
  <c r="U17" i="54"/>
  <c r="T17" i="54"/>
  <c r="S17" i="54"/>
  <c r="R17" i="54"/>
  <c r="Q17" i="54"/>
  <c r="P17" i="54"/>
  <c r="O17" i="54"/>
  <c r="N17" i="54"/>
  <c r="M17" i="54"/>
  <c r="L17" i="54"/>
  <c r="K17" i="54"/>
  <c r="J17" i="54"/>
  <c r="I17" i="54"/>
  <c r="H17" i="54"/>
  <c r="G17" i="54"/>
  <c r="AA16" i="54"/>
  <c r="Z16" i="54"/>
  <c r="Y16" i="54"/>
  <c r="X16" i="54"/>
  <c r="W16" i="54"/>
  <c r="V16" i="54"/>
  <c r="U16" i="54"/>
  <c r="T16" i="54"/>
  <c r="S16" i="54"/>
  <c r="R16" i="54"/>
  <c r="Q16" i="54"/>
  <c r="P16" i="54"/>
  <c r="O16" i="54"/>
  <c r="N16" i="54"/>
  <c r="M16" i="54"/>
  <c r="L16" i="54"/>
  <c r="K16" i="54"/>
  <c r="J16" i="54"/>
  <c r="I16" i="54"/>
  <c r="H16" i="54"/>
  <c r="G16" i="54"/>
  <c r="AA15" i="54"/>
  <c r="Z15" i="54"/>
  <c r="Y15" i="54"/>
  <c r="X15" i="54"/>
  <c r="W15" i="54"/>
  <c r="V15" i="54"/>
  <c r="U15" i="54"/>
  <c r="T15" i="54"/>
  <c r="S15" i="54"/>
  <c r="R15" i="54"/>
  <c r="Q15" i="54"/>
  <c r="P15" i="54"/>
  <c r="O15" i="54"/>
  <c r="N15" i="54"/>
  <c r="M15" i="54"/>
  <c r="L15" i="54"/>
  <c r="K15" i="54"/>
  <c r="J15" i="54"/>
  <c r="I15" i="54"/>
  <c r="H15" i="54"/>
  <c r="G15" i="54"/>
  <c r="AA14" i="54"/>
  <c r="Z14" i="54"/>
  <c r="Y14" i="54"/>
  <c r="X14" i="54"/>
  <c r="W14" i="54"/>
  <c r="V14" i="54"/>
  <c r="U14" i="54"/>
  <c r="T14" i="54"/>
  <c r="S14" i="54"/>
  <c r="R14" i="54"/>
  <c r="Q14" i="54"/>
  <c r="P14" i="54"/>
  <c r="O14" i="54"/>
  <c r="N14" i="54"/>
  <c r="M14" i="54"/>
  <c r="L14" i="54"/>
  <c r="K14" i="54"/>
  <c r="J14" i="54"/>
  <c r="I14" i="54"/>
  <c r="H14" i="54"/>
  <c r="G14" i="54"/>
  <c r="AA13" i="54"/>
  <c r="Z13" i="54"/>
  <c r="Y13" i="54"/>
  <c r="X13" i="54"/>
  <c r="W13" i="54"/>
  <c r="V13" i="54"/>
  <c r="U13" i="54"/>
  <c r="T13" i="54"/>
  <c r="S13" i="54"/>
  <c r="R13" i="54"/>
  <c r="Q13" i="54"/>
  <c r="P13" i="54"/>
  <c r="O13" i="54"/>
  <c r="N13" i="54"/>
  <c r="M13" i="54"/>
  <c r="L13" i="54"/>
  <c r="K13" i="54"/>
  <c r="J13" i="54"/>
  <c r="I13" i="54"/>
  <c r="H13" i="54"/>
  <c r="G13" i="54"/>
  <c r="AA12" i="54"/>
  <c r="Z12" i="54"/>
  <c r="Y12" i="54"/>
  <c r="X12" i="54"/>
  <c r="W12" i="54"/>
  <c r="V12" i="54"/>
  <c r="U12" i="54"/>
  <c r="T12" i="54"/>
  <c r="S12" i="54"/>
  <c r="R12" i="54"/>
  <c r="Q12" i="54"/>
  <c r="P12" i="54"/>
  <c r="O12" i="54"/>
  <c r="N12" i="54"/>
  <c r="M12" i="54"/>
  <c r="L12" i="54"/>
  <c r="K12" i="54"/>
  <c r="J12" i="54"/>
  <c r="I12" i="54"/>
  <c r="H12" i="54"/>
  <c r="G12" i="54"/>
  <c r="AA11" i="54"/>
  <c r="Z11" i="54"/>
  <c r="Y11" i="54"/>
  <c r="X11" i="54"/>
  <c r="W11" i="54"/>
  <c r="V11" i="54"/>
  <c r="U11" i="54"/>
  <c r="T11" i="54"/>
  <c r="S11" i="54"/>
  <c r="R11" i="54"/>
  <c r="Q11" i="54"/>
  <c r="P11" i="54"/>
  <c r="O11" i="54"/>
  <c r="N11" i="54"/>
  <c r="M11" i="54"/>
  <c r="L11" i="54"/>
  <c r="K11" i="54"/>
  <c r="J11" i="54"/>
  <c r="I11" i="54"/>
  <c r="H11" i="54"/>
  <c r="G11" i="54"/>
  <c r="AA10" i="54"/>
  <c r="Z10" i="54"/>
  <c r="Y10" i="54"/>
  <c r="X10" i="54"/>
  <c r="W10" i="54"/>
  <c r="V10" i="54"/>
  <c r="U10" i="54"/>
  <c r="T10" i="54"/>
  <c r="S10" i="54"/>
  <c r="R10" i="54"/>
  <c r="Q10" i="54"/>
  <c r="P10" i="54"/>
  <c r="O10" i="54"/>
  <c r="N10" i="54"/>
  <c r="M10" i="54"/>
  <c r="L10" i="54"/>
  <c r="K10" i="54"/>
  <c r="J10" i="54"/>
  <c r="I10" i="54"/>
  <c r="H10" i="54"/>
  <c r="G10" i="54"/>
  <c r="AA9" i="54"/>
  <c r="Z9" i="54"/>
  <c r="Y9" i="54"/>
  <c r="X9" i="54"/>
  <c r="W9" i="54"/>
  <c r="V9" i="54"/>
  <c r="U9" i="54"/>
  <c r="T9" i="54"/>
  <c r="S9" i="54"/>
  <c r="R9" i="54"/>
  <c r="Q9" i="54"/>
  <c r="P9" i="54"/>
  <c r="O9" i="54"/>
  <c r="N9" i="54"/>
  <c r="M9" i="54"/>
  <c r="L9" i="54"/>
  <c r="K9" i="54"/>
  <c r="J9" i="54"/>
  <c r="I9" i="54"/>
  <c r="H9" i="54"/>
  <c r="G9" i="54"/>
  <c r="AA8" i="54"/>
  <c r="Z8" i="54"/>
  <c r="Y8" i="54"/>
  <c r="X8" i="54"/>
  <c r="W8" i="54"/>
  <c r="V8" i="54"/>
  <c r="U8" i="54"/>
  <c r="T8" i="54"/>
  <c r="S8" i="54"/>
  <c r="R8" i="54"/>
  <c r="Q8" i="54"/>
  <c r="P8" i="54"/>
  <c r="O8" i="54"/>
  <c r="N8" i="54"/>
  <c r="M8" i="54"/>
  <c r="L8" i="54"/>
  <c r="K8" i="54"/>
  <c r="J8" i="54"/>
  <c r="I8" i="54"/>
  <c r="H8" i="54"/>
  <c r="G8" i="54"/>
  <c r="AA7" i="54"/>
  <c r="Z7" i="54"/>
  <c r="Y7" i="54"/>
  <c r="X7" i="54"/>
  <c r="W7" i="54"/>
  <c r="V7" i="54"/>
  <c r="U7" i="54"/>
  <c r="T7" i="54"/>
  <c r="S7" i="54"/>
  <c r="R7" i="54"/>
  <c r="Q7" i="54"/>
  <c r="P7" i="54"/>
  <c r="O7" i="54"/>
  <c r="N7" i="54"/>
  <c r="M7" i="54"/>
  <c r="L7" i="54"/>
  <c r="K7" i="54"/>
  <c r="J7" i="54"/>
  <c r="I7" i="54"/>
  <c r="H7" i="54"/>
  <c r="G7" i="54"/>
  <c r="AA6" i="54"/>
  <c r="Z6" i="54"/>
  <c r="Y6" i="54"/>
  <c r="X6" i="54"/>
  <c r="W6" i="54"/>
  <c r="V6" i="54"/>
  <c r="U6" i="54"/>
  <c r="T6" i="54"/>
  <c r="S6" i="54"/>
  <c r="R6" i="54"/>
  <c r="Q6" i="54"/>
  <c r="P6" i="54"/>
  <c r="O6" i="54"/>
  <c r="N6" i="54"/>
  <c r="M6" i="54"/>
  <c r="L6" i="54"/>
  <c r="K6" i="54"/>
  <c r="J6" i="54"/>
  <c r="I6" i="54"/>
  <c r="H6" i="54"/>
  <c r="G6" i="54"/>
  <c r="AR223" i="1" l="1"/>
  <c r="AQ223" i="1"/>
  <c r="AP223" i="1"/>
  <c r="AO223" i="1"/>
  <c r="AN223" i="1"/>
  <c r="AM223" i="1"/>
  <c r="AL223" i="1"/>
  <c r="AK223" i="1"/>
  <c r="AJ223" i="1"/>
  <c r="AI223" i="1"/>
  <c r="AH223" i="1"/>
  <c r="AG223" i="1"/>
  <c r="AF223" i="1"/>
  <c r="AE223" i="1"/>
  <c r="AD223" i="1"/>
  <c r="AC223" i="1"/>
  <c r="AB223" i="1"/>
  <c r="AA223" i="1"/>
  <c r="Z223" i="1"/>
  <c r="Y223" i="1"/>
  <c r="X223" i="1"/>
  <c r="AR222" i="1"/>
  <c r="AQ222" i="1"/>
  <c r="AP222" i="1"/>
  <c r="AO222" i="1"/>
  <c r="AN222" i="1"/>
  <c r="AM222" i="1"/>
  <c r="AL222" i="1"/>
  <c r="AK222" i="1"/>
  <c r="AJ222" i="1"/>
  <c r="AI222" i="1"/>
  <c r="AH222" i="1"/>
  <c r="AG222" i="1"/>
  <c r="AF222" i="1"/>
  <c r="AE222" i="1"/>
  <c r="AD222" i="1"/>
  <c r="AC222" i="1"/>
  <c r="AB222" i="1"/>
  <c r="AA222" i="1"/>
  <c r="Z222" i="1"/>
  <c r="Y222" i="1"/>
  <c r="X222" i="1"/>
  <c r="AR221" i="1"/>
  <c r="AQ221" i="1"/>
  <c r="AP221" i="1"/>
  <c r="AO221" i="1"/>
  <c r="AN221" i="1"/>
  <c r="AM221" i="1"/>
  <c r="AL221" i="1"/>
  <c r="AK221" i="1"/>
  <c r="AJ221" i="1"/>
  <c r="AI221" i="1"/>
  <c r="AH221" i="1"/>
  <c r="AG221" i="1"/>
  <c r="AF221" i="1"/>
  <c r="AE221" i="1"/>
  <c r="AD221" i="1"/>
  <c r="AC221" i="1"/>
  <c r="AB221" i="1"/>
  <c r="AA221" i="1"/>
  <c r="Z221" i="1"/>
  <c r="Y221" i="1"/>
  <c r="X221" i="1"/>
  <c r="AR220" i="1"/>
  <c r="AQ220" i="1"/>
  <c r="AP220" i="1"/>
  <c r="AO220" i="1"/>
  <c r="AN220" i="1"/>
  <c r="AM220" i="1"/>
  <c r="AL220" i="1"/>
  <c r="AK220" i="1"/>
  <c r="AJ220" i="1"/>
  <c r="AI220" i="1"/>
  <c r="AH220" i="1"/>
  <c r="AG220" i="1"/>
  <c r="AF220" i="1"/>
  <c r="AE220" i="1"/>
  <c r="AD220" i="1"/>
  <c r="AC220" i="1"/>
  <c r="AB220" i="1"/>
  <c r="AA220" i="1"/>
  <c r="Z220" i="1"/>
  <c r="Y220" i="1"/>
  <c r="X220" i="1"/>
  <c r="AR219" i="1"/>
  <c r="AQ219" i="1"/>
  <c r="AP219" i="1"/>
  <c r="AO219" i="1"/>
  <c r="AN219" i="1"/>
  <c r="AM219" i="1"/>
  <c r="AL219" i="1"/>
  <c r="AK219" i="1"/>
  <c r="AJ219" i="1"/>
  <c r="AI219" i="1"/>
  <c r="AH219" i="1"/>
  <c r="AG219" i="1"/>
  <c r="AF219" i="1"/>
  <c r="AE219" i="1"/>
  <c r="AD219" i="1"/>
  <c r="AC219" i="1"/>
  <c r="AB219" i="1"/>
  <c r="AA219" i="1"/>
  <c r="Z219" i="1"/>
  <c r="Y219" i="1"/>
  <c r="X219" i="1"/>
  <c r="AR218" i="1"/>
  <c r="AQ218" i="1"/>
  <c r="AP218" i="1"/>
  <c r="AO218" i="1"/>
  <c r="AN218" i="1"/>
  <c r="AM218" i="1"/>
  <c r="AL218" i="1"/>
  <c r="AK218" i="1"/>
  <c r="AJ218" i="1"/>
  <c r="AI218" i="1"/>
  <c r="AH218" i="1"/>
  <c r="AG218" i="1"/>
  <c r="AF218" i="1"/>
  <c r="AE218" i="1"/>
  <c r="AD218" i="1"/>
  <c r="AC218" i="1"/>
  <c r="AB218" i="1"/>
  <c r="AA218" i="1"/>
  <c r="Z218" i="1"/>
  <c r="Y218" i="1"/>
  <c r="X218" i="1"/>
  <c r="AR217" i="1"/>
  <c r="AQ217" i="1"/>
  <c r="AP217" i="1"/>
  <c r="AO217" i="1"/>
  <c r="AN217" i="1"/>
  <c r="AM217" i="1"/>
  <c r="AL217" i="1"/>
  <c r="AK217" i="1"/>
  <c r="AJ217" i="1"/>
  <c r="AI217" i="1"/>
  <c r="AH217" i="1"/>
  <c r="AG217" i="1"/>
  <c r="AF217" i="1"/>
  <c r="AE217" i="1"/>
  <c r="AD217" i="1"/>
  <c r="AC217" i="1"/>
  <c r="AB217" i="1"/>
  <c r="AA217" i="1"/>
  <c r="Z217" i="1"/>
  <c r="Y217" i="1"/>
  <c r="X217" i="1"/>
  <c r="AR216" i="1"/>
  <c r="AQ216" i="1"/>
  <c r="AP216" i="1"/>
  <c r="AO216" i="1"/>
  <c r="AN216" i="1"/>
  <c r="AM216" i="1"/>
  <c r="AL216" i="1"/>
  <c r="AK216" i="1"/>
  <c r="AJ216" i="1"/>
  <c r="AI216" i="1"/>
  <c r="AH216" i="1"/>
  <c r="AG216" i="1"/>
  <c r="AF216" i="1"/>
  <c r="AE216" i="1"/>
  <c r="AD216" i="1"/>
  <c r="AC216" i="1"/>
  <c r="AB216" i="1"/>
  <c r="AA216" i="1"/>
  <c r="Z216" i="1"/>
  <c r="Y216" i="1"/>
  <c r="X216" i="1"/>
  <c r="AR215" i="1"/>
  <c r="AQ215" i="1"/>
  <c r="AP215" i="1"/>
  <c r="AO215" i="1"/>
  <c r="AN215" i="1"/>
  <c r="AM215" i="1"/>
  <c r="AL215" i="1"/>
  <c r="AK215" i="1"/>
  <c r="AJ215" i="1"/>
  <c r="AI215" i="1"/>
  <c r="AH215" i="1"/>
  <c r="AG215" i="1"/>
  <c r="AF215" i="1"/>
  <c r="AE215" i="1"/>
  <c r="AD215" i="1"/>
  <c r="AC215" i="1"/>
  <c r="AB215" i="1"/>
  <c r="AA215" i="1"/>
  <c r="Z215" i="1"/>
  <c r="Y215" i="1"/>
  <c r="X215" i="1"/>
  <c r="AR214" i="1"/>
  <c r="AQ214" i="1"/>
  <c r="AP214" i="1"/>
  <c r="AO214" i="1"/>
  <c r="AN214" i="1"/>
  <c r="AM214" i="1"/>
  <c r="AL214" i="1"/>
  <c r="AK214" i="1"/>
  <c r="AJ214" i="1"/>
  <c r="AI214" i="1"/>
  <c r="AH214" i="1"/>
  <c r="AG214" i="1"/>
  <c r="AF214" i="1"/>
  <c r="AE214" i="1"/>
  <c r="AD214" i="1"/>
  <c r="AC214" i="1"/>
  <c r="AB214" i="1"/>
  <c r="AA214" i="1"/>
  <c r="Z214" i="1"/>
  <c r="Y214" i="1"/>
  <c r="X214" i="1"/>
  <c r="AR213" i="1"/>
  <c r="AQ213" i="1"/>
  <c r="AP213" i="1"/>
  <c r="AO213" i="1"/>
  <c r="AN213" i="1"/>
  <c r="AM213" i="1"/>
  <c r="AL213" i="1"/>
  <c r="AK213" i="1"/>
  <c r="AJ213" i="1"/>
  <c r="AI213" i="1"/>
  <c r="AH213" i="1"/>
  <c r="AG213" i="1"/>
  <c r="AF213" i="1"/>
  <c r="AE213" i="1"/>
  <c r="AD213" i="1"/>
  <c r="AC213" i="1"/>
  <c r="AB213" i="1"/>
  <c r="AA213" i="1"/>
  <c r="Z213" i="1"/>
  <c r="Y213" i="1"/>
  <c r="X213" i="1"/>
  <c r="AR212" i="1"/>
  <c r="AQ212" i="1"/>
  <c r="AP212" i="1"/>
  <c r="AO212" i="1"/>
  <c r="AN212" i="1"/>
  <c r="AM212" i="1"/>
  <c r="AL212" i="1"/>
  <c r="AK212" i="1"/>
  <c r="AJ212" i="1"/>
  <c r="AI212" i="1"/>
  <c r="AH212" i="1"/>
  <c r="AG212" i="1"/>
  <c r="AF212" i="1"/>
  <c r="AE212" i="1"/>
  <c r="AD212" i="1"/>
  <c r="AC212" i="1"/>
  <c r="AB212" i="1"/>
  <c r="AA212" i="1"/>
  <c r="Z212" i="1"/>
  <c r="Y212" i="1"/>
  <c r="X212" i="1"/>
  <c r="AR211" i="1"/>
  <c r="AQ211" i="1"/>
  <c r="AP211" i="1"/>
  <c r="AO211" i="1"/>
  <c r="AN211" i="1"/>
  <c r="AM211" i="1"/>
  <c r="AL211" i="1"/>
  <c r="AK211" i="1"/>
  <c r="AJ211" i="1"/>
  <c r="AI211" i="1"/>
  <c r="AH211" i="1"/>
  <c r="AG211" i="1"/>
  <c r="AF211" i="1"/>
  <c r="AE211" i="1"/>
  <c r="AD211" i="1"/>
  <c r="AC211" i="1"/>
  <c r="AB211" i="1"/>
  <c r="AA211" i="1"/>
  <c r="Z211" i="1"/>
  <c r="Y211" i="1"/>
  <c r="X211" i="1"/>
  <c r="AR210" i="1"/>
  <c r="AQ210" i="1"/>
  <c r="AP210" i="1"/>
  <c r="AO210" i="1"/>
  <c r="AN210" i="1"/>
  <c r="AM210" i="1"/>
  <c r="AL210" i="1"/>
  <c r="AK210" i="1"/>
  <c r="AJ210" i="1"/>
  <c r="AI210" i="1"/>
  <c r="AH210" i="1"/>
  <c r="AG210" i="1"/>
  <c r="AF210" i="1"/>
  <c r="AE210" i="1"/>
  <c r="AD210" i="1"/>
  <c r="AC210" i="1"/>
  <c r="AB210" i="1"/>
  <c r="AA210" i="1"/>
  <c r="Z210" i="1"/>
  <c r="Y210" i="1"/>
  <c r="X210" i="1"/>
  <c r="AR209" i="1"/>
  <c r="AQ209" i="1"/>
  <c r="AP209" i="1"/>
  <c r="AO209" i="1"/>
  <c r="AN209" i="1"/>
  <c r="AM209" i="1"/>
  <c r="AL209" i="1"/>
  <c r="AK209" i="1"/>
  <c r="AJ209" i="1"/>
  <c r="AI209" i="1"/>
  <c r="AH209" i="1"/>
  <c r="AG209" i="1"/>
  <c r="AF209" i="1"/>
  <c r="AE209" i="1"/>
  <c r="AD209" i="1"/>
  <c r="AC209" i="1"/>
  <c r="AB209" i="1"/>
  <c r="AA209" i="1"/>
  <c r="Z209" i="1"/>
  <c r="Y209" i="1"/>
  <c r="X209" i="1"/>
  <c r="AR208" i="1"/>
  <c r="AQ208" i="1"/>
  <c r="AP208" i="1"/>
  <c r="AO208" i="1"/>
  <c r="AN208" i="1"/>
  <c r="AM208" i="1"/>
  <c r="AL208" i="1"/>
  <c r="AK208" i="1"/>
  <c r="AJ208" i="1"/>
  <c r="AI208" i="1"/>
  <c r="AH208" i="1"/>
  <c r="AG208" i="1"/>
  <c r="AF208" i="1"/>
  <c r="AE208" i="1"/>
  <c r="AD208" i="1"/>
  <c r="AC208" i="1"/>
  <c r="AB208" i="1"/>
  <c r="AA208" i="1"/>
  <c r="Z208" i="1"/>
  <c r="Y208" i="1"/>
  <c r="X208" i="1"/>
  <c r="AR207" i="1"/>
  <c r="AQ207" i="1"/>
  <c r="AP207" i="1"/>
  <c r="AO207" i="1"/>
  <c r="AN207" i="1"/>
  <c r="AM207" i="1"/>
  <c r="AL207" i="1"/>
  <c r="AK207" i="1"/>
  <c r="AJ207" i="1"/>
  <c r="AI207" i="1"/>
  <c r="AH207" i="1"/>
  <c r="AG207" i="1"/>
  <c r="AF207" i="1"/>
  <c r="AE207" i="1"/>
  <c r="AD207" i="1"/>
  <c r="AC207" i="1"/>
  <c r="AB207" i="1"/>
  <c r="AA207" i="1"/>
  <c r="Z207" i="1"/>
  <c r="Y207" i="1"/>
  <c r="X207" i="1"/>
  <c r="AR206" i="1"/>
  <c r="AQ206" i="1"/>
  <c r="AP206" i="1"/>
  <c r="AO206" i="1"/>
  <c r="AN206" i="1"/>
  <c r="AM206" i="1"/>
  <c r="AL206" i="1"/>
  <c r="AK206" i="1"/>
  <c r="AJ206" i="1"/>
  <c r="AI206" i="1"/>
  <c r="AH206" i="1"/>
  <c r="AG206" i="1"/>
  <c r="AF206" i="1"/>
  <c r="AE206" i="1"/>
  <c r="AD206" i="1"/>
  <c r="AC206" i="1"/>
  <c r="AB206" i="1"/>
  <c r="AA206" i="1"/>
  <c r="Z206" i="1"/>
  <c r="Y206" i="1"/>
  <c r="X206" i="1"/>
  <c r="AR205" i="1"/>
  <c r="AQ205" i="1"/>
  <c r="AP205" i="1"/>
  <c r="AO205" i="1"/>
  <c r="AN205" i="1"/>
  <c r="AM205" i="1"/>
  <c r="AL205" i="1"/>
  <c r="AK205" i="1"/>
  <c r="AJ205" i="1"/>
  <c r="AI205" i="1"/>
  <c r="AH205" i="1"/>
  <c r="AG205" i="1"/>
  <c r="AF205" i="1"/>
  <c r="AE205" i="1"/>
  <c r="AD205" i="1"/>
  <c r="AC205" i="1"/>
  <c r="AB205" i="1"/>
  <c r="AA205" i="1"/>
  <c r="Z205" i="1"/>
  <c r="Y205" i="1"/>
  <c r="X205" i="1"/>
  <c r="AR204" i="1"/>
  <c r="AQ204" i="1"/>
  <c r="AP204" i="1"/>
  <c r="AO204" i="1"/>
  <c r="AN204" i="1"/>
  <c r="AM204" i="1"/>
  <c r="AL204" i="1"/>
  <c r="AK204" i="1"/>
  <c r="AJ204" i="1"/>
  <c r="AI204" i="1"/>
  <c r="AH204" i="1"/>
  <c r="AG204" i="1"/>
  <c r="AF204" i="1"/>
  <c r="AE204" i="1"/>
  <c r="AD204" i="1"/>
  <c r="AC204" i="1"/>
  <c r="AB204" i="1"/>
  <c r="AA204" i="1"/>
  <c r="Z204" i="1"/>
  <c r="Y204" i="1"/>
  <c r="X204" i="1"/>
  <c r="AR203" i="1"/>
  <c r="AQ203" i="1"/>
  <c r="AP203" i="1"/>
  <c r="AO203" i="1"/>
  <c r="AN203" i="1"/>
  <c r="AM203" i="1"/>
  <c r="AL203" i="1"/>
  <c r="AK203" i="1"/>
  <c r="AJ203" i="1"/>
  <c r="AI203" i="1"/>
  <c r="AH203" i="1"/>
  <c r="AG203" i="1"/>
  <c r="AF203" i="1"/>
  <c r="AE203" i="1"/>
  <c r="AD203" i="1"/>
  <c r="AC203" i="1"/>
  <c r="AB203" i="1"/>
  <c r="AA203" i="1"/>
  <c r="Z203" i="1"/>
  <c r="Y203" i="1"/>
  <c r="X203" i="1"/>
  <c r="AR202" i="1"/>
  <c r="AQ202" i="1"/>
  <c r="AP202" i="1"/>
  <c r="AO202" i="1"/>
  <c r="AN202" i="1"/>
  <c r="AM202" i="1"/>
  <c r="AL202" i="1"/>
  <c r="AK202" i="1"/>
  <c r="AJ202" i="1"/>
  <c r="AI202" i="1"/>
  <c r="AH202" i="1"/>
  <c r="AG202" i="1"/>
  <c r="AF202" i="1"/>
  <c r="AE202" i="1"/>
  <c r="AD202" i="1"/>
  <c r="AC202" i="1"/>
  <c r="AB202" i="1"/>
  <c r="AA202" i="1"/>
  <c r="Z202" i="1"/>
  <c r="Y202" i="1"/>
  <c r="X202" i="1"/>
  <c r="AR201" i="1"/>
  <c r="AQ201" i="1"/>
  <c r="AP201" i="1"/>
  <c r="AO201" i="1"/>
  <c r="AN201" i="1"/>
  <c r="AM201" i="1"/>
  <c r="AL201" i="1"/>
  <c r="AK201" i="1"/>
  <c r="AJ201" i="1"/>
  <c r="AI201" i="1"/>
  <c r="AH201" i="1"/>
  <c r="AG201" i="1"/>
  <c r="AF201" i="1"/>
  <c r="AE201" i="1"/>
  <c r="AD201" i="1"/>
  <c r="AC201" i="1"/>
  <c r="AB201" i="1"/>
  <c r="AA201" i="1"/>
  <c r="Z201" i="1"/>
  <c r="Y201" i="1"/>
  <c r="X201" i="1"/>
  <c r="AR200" i="1"/>
  <c r="AQ200" i="1"/>
  <c r="AP200" i="1"/>
  <c r="AO200" i="1"/>
  <c r="AN200" i="1"/>
  <c r="AM200" i="1"/>
  <c r="AL200" i="1"/>
  <c r="AK200" i="1"/>
  <c r="AJ200" i="1"/>
  <c r="AI200" i="1"/>
  <c r="AH200" i="1"/>
  <c r="AG200" i="1"/>
  <c r="AF200" i="1"/>
  <c r="AE200" i="1"/>
  <c r="AD200" i="1"/>
  <c r="AC200" i="1"/>
  <c r="AB200" i="1"/>
  <c r="AA200" i="1"/>
  <c r="Z200" i="1"/>
  <c r="Y200" i="1"/>
  <c r="X200" i="1"/>
  <c r="AR199" i="1"/>
  <c r="AQ199" i="1"/>
  <c r="AP199" i="1"/>
  <c r="AO199" i="1"/>
  <c r="AN199" i="1"/>
  <c r="AM199" i="1"/>
  <c r="AL199" i="1"/>
  <c r="AK199" i="1"/>
  <c r="AJ199" i="1"/>
  <c r="AI199" i="1"/>
  <c r="AH199" i="1"/>
  <c r="AG199" i="1"/>
  <c r="AF199" i="1"/>
  <c r="AE199" i="1"/>
  <c r="AD199" i="1"/>
  <c r="AC199" i="1"/>
  <c r="AB199" i="1"/>
  <c r="AA199" i="1"/>
  <c r="Z199" i="1"/>
  <c r="Y199" i="1"/>
  <c r="X199" i="1"/>
  <c r="AR198" i="1"/>
  <c r="AQ198" i="1"/>
  <c r="AP198" i="1"/>
  <c r="AO198" i="1"/>
  <c r="AN198" i="1"/>
  <c r="AM198" i="1"/>
  <c r="AL198" i="1"/>
  <c r="AK198" i="1"/>
  <c r="AJ198" i="1"/>
  <c r="AI198" i="1"/>
  <c r="AH198" i="1"/>
  <c r="AG198" i="1"/>
  <c r="AF198" i="1"/>
  <c r="AE198" i="1"/>
  <c r="AD198" i="1"/>
  <c r="AC198" i="1"/>
  <c r="AB198" i="1"/>
  <c r="AA198" i="1"/>
  <c r="Z198" i="1"/>
  <c r="Y198" i="1"/>
  <c r="X198" i="1"/>
  <c r="AR197" i="1"/>
  <c r="AQ197" i="1"/>
  <c r="AP197" i="1"/>
  <c r="AO197" i="1"/>
  <c r="AN197" i="1"/>
  <c r="AM197" i="1"/>
  <c r="AL197" i="1"/>
  <c r="AK197" i="1"/>
  <c r="AJ197" i="1"/>
  <c r="AI197" i="1"/>
  <c r="AH197" i="1"/>
  <c r="AG197" i="1"/>
  <c r="AF197" i="1"/>
  <c r="AE197" i="1"/>
  <c r="AD197" i="1"/>
  <c r="AC197" i="1"/>
  <c r="AB197" i="1"/>
  <c r="AA197" i="1"/>
  <c r="Z197" i="1"/>
  <c r="Y197" i="1"/>
  <c r="X197" i="1"/>
  <c r="AR196" i="1"/>
  <c r="AQ196" i="1"/>
  <c r="AP196" i="1"/>
  <c r="AO196" i="1"/>
  <c r="AN196" i="1"/>
  <c r="AM196" i="1"/>
  <c r="AL196" i="1"/>
  <c r="AK196" i="1"/>
  <c r="AJ196" i="1"/>
  <c r="AI196" i="1"/>
  <c r="AH196" i="1"/>
  <c r="AG196" i="1"/>
  <c r="AF196" i="1"/>
  <c r="AE196" i="1"/>
  <c r="AD196" i="1"/>
  <c r="AC196" i="1"/>
  <c r="AB196" i="1"/>
  <c r="AA196" i="1"/>
  <c r="Z196" i="1"/>
  <c r="Y196" i="1"/>
  <c r="X196" i="1"/>
  <c r="AR195" i="1"/>
  <c r="AQ195" i="1"/>
  <c r="AP195" i="1"/>
  <c r="AO195" i="1"/>
  <c r="AN195" i="1"/>
  <c r="AM195" i="1"/>
  <c r="AL195" i="1"/>
  <c r="AK195" i="1"/>
  <c r="AJ195" i="1"/>
  <c r="AI195" i="1"/>
  <c r="AH195" i="1"/>
  <c r="AG195" i="1"/>
  <c r="AF195" i="1"/>
  <c r="AE195" i="1"/>
  <c r="AD195" i="1"/>
  <c r="AC195" i="1"/>
  <c r="AB195" i="1"/>
  <c r="AA195" i="1"/>
  <c r="Z195" i="1"/>
  <c r="Y195" i="1"/>
  <c r="X195" i="1"/>
  <c r="AR194" i="1"/>
  <c r="AQ194" i="1"/>
  <c r="AP194" i="1"/>
  <c r="AO194" i="1"/>
  <c r="AN194" i="1"/>
  <c r="AM194" i="1"/>
  <c r="AL194" i="1"/>
  <c r="AK194" i="1"/>
  <c r="AJ194" i="1"/>
  <c r="AI194" i="1"/>
  <c r="AH194" i="1"/>
  <c r="AG194" i="1"/>
  <c r="AF194" i="1"/>
  <c r="AE194" i="1"/>
  <c r="AD194" i="1"/>
  <c r="AC194" i="1"/>
  <c r="AB194" i="1"/>
  <c r="AA194" i="1"/>
  <c r="Z194" i="1"/>
  <c r="Y194" i="1"/>
  <c r="X194" i="1"/>
  <c r="AR193" i="1"/>
  <c r="AQ193" i="1"/>
  <c r="AP193" i="1"/>
  <c r="AO193" i="1"/>
  <c r="AN193" i="1"/>
  <c r="AM193" i="1"/>
  <c r="AL193" i="1"/>
  <c r="AK193" i="1"/>
  <c r="AJ193" i="1"/>
  <c r="AI193" i="1"/>
  <c r="AH193" i="1"/>
  <c r="AG193" i="1"/>
  <c r="AF193" i="1"/>
  <c r="AE193" i="1"/>
  <c r="AD193" i="1"/>
  <c r="AC193" i="1"/>
  <c r="AB193" i="1"/>
  <c r="AA193" i="1"/>
  <c r="Z193" i="1"/>
  <c r="Y193" i="1"/>
  <c r="X193" i="1"/>
  <c r="AR192" i="1"/>
  <c r="AQ192" i="1"/>
  <c r="AP192" i="1"/>
  <c r="AO192" i="1"/>
  <c r="AN192" i="1"/>
  <c r="AM192" i="1"/>
  <c r="AL192" i="1"/>
  <c r="AK192" i="1"/>
  <c r="AJ192" i="1"/>
  <c r="AI192" i="1"/>
  <c r="AH192" i="1"/>
  <c r="AG192" i="1"/>
  <c r="AF192" i="1"/>
  <c r="AE192" i="1"/>
  <c r="AD192" i="1"/>
  <c r="AC192" i="1"/>
  <c r="AB192" i="1"/>
  <c r="AA192" i="1"/>
  <c r="Z192" i="1"/>
  <c r="Y192" i="1"/>
  <c r="X192" i="1"/>
  <c r="AR191" i="1"/>
  <c r="AQ191" i="1"/>
  <c r="AP191" i="1"/>
  <c r="AO191" i="1"/>
  <c r="AN191" i="1"/>
  <c r="AM191" i="1"/>
  <c r="AL191" i="1"/>
  <c r="AK191" i="1"/>
  <c r="AJ191" i="1"/>
  <c r="AI191" i="1"/>
  <c r="AH191" i="1"/>
  <c r="AG191" i="1"/>
  <c r="AF191" i="1"/>
  <c r="AE191" i="1"/>
  <c r="AD191" i="1"/>
  <c r="AC191" i="1"/>
  <c r="AB191" i="1"/>
  <c r="AA191" i="1"/>
  <c r="Z191" i="1"/>
  <c r="Y191" i="1"/>
  <c r="X191" i="1"/>
  <c r="AR190" i="1"/>
  <c r="AQ190" i="1"/>
  <c r="AP190" i="1"/>
  <c r="AO190" i="1"/>
  <c r="AN190" i="1"/>
  <c r="AM190" i="1"/>
  <c r="AL190" i="1"/>
  <c r="AK190" i="1"/>
  <c r="AJ190" i="1"/>
  <c r="AI190" i="1"/>
  <c r="AH190" i="1"/>
  <c r="AG190" i="1"/>
  <c r="AF190" i="1"/>
  <c r="AE190" i="1"/>
  <c r="AD190" i="1"/>
  <c r="AC190" i="1"/>
  <c r="AB190" i="1"/>
  <c r="AA190" i="1"/>
  <c r="Z190" i="1"/>
  <c r="Y190" i="1"/>
  <c r="X190" i="1"/>
  <c r="AR189" i="1"/>
  <c r="AQ189" i="1"/>
  <c r="AP189" i="1"/>
  <c r="AO189" i="1"/>
  <c r="AN189" i="1"/>
  <c r="AM189" i="1"/>
  <c r="AL189" i="1"/>
  <c r="AK189" i="1"/>
  <c r="AJ189" i="1"/>
  <c r="AI189" i="1"/>
  <c r="AH189" i="1"/>
  <c r="AG189" i="1"/>
  <c r="AF189" i="1"/>
  <c r="AE189" i="1"/>
  <c r="AD189" i="1"/>
  <c r="AC189" i="1"/>
  <c r="AB189" i="1"/>
  <c r="AA189" i="1"/>
  <c r="Z189" i="1"/>
  <c r="Y189" i="1"/>
  <c r="X189" i="1"/>
  <c r="AR188" i="1"/>
  <c r="AQ188" i="1"/>
  <c r="AP188" i="1"/>
  <c r="AO188" i="1"/>
  <c r="AN188" i="1"/>
  <c r="AM188" i="1"/>
  <c r="AL188" i="1"/>
  <c r="AK188" i="1"/>
  <c r="AJ188" i="1"/>
  <c r="AI188" i="1"/>
  <c r="AH188" i="1"/>
  <c r="AG188" i="1"/>
  <c r="AF188" i="1"/>
  <c r="AE188" i="1"/>
  <c r="AD188" i="1"/>
  <c r="AC188" i="1"/>
  <c r="AB188" i="1"/>
  <c r="AA188" i="1"/>
  <c r="Z188" i="1"/>
  <c r="Y188" i="1"/>
  <c r="X188" i="1"/>
  <c r="AR187" i="1"/>
  <c r="AQ187" i="1"/>
  <c r="AP187" i="1"/>
  <c r="AO187" i="1"/>
  <c r="AN187" i="1"/>
  <c r="AM187" i="1"/>
  <c r="AL187" i="1"/>
  <c r="AK187" i="1"/>
  <c r="AJ187" i="1"/>
  <c r="AI187" i="1"/>
  <c r="AH187" i="1"/>
  <c r="AG187" i="1"/>
  <c r="AF187" i="1"/>
  <c r="AE187" i="1"/>
  <c r="AD187" i="1"/>
  <c r="AC187" i="1"/>
  <c r="AB187" i="1"/>
  <c r="AA187" i="1"/>
  <c r="Z187" i="1"/>
  <c r="Y187" i="1"/>
  <c r="X187" i="1"/>
  <c r="AR186" i="1"/>
  <c r="AQ186" i="1"/>
  <c r="AP186" i="1"/>
  <c r="AO186" i="1"/>
  <c r="AN186" i="1"/>
  <c r="AM186" i="1"/>
  <c r="AL186" i="1"/>
  <c r="AK186" i="1"/>
  <c r="AJ186" i="1"/>
  <c r="AI186" i="1"/>
  <c r="AH186" i="1"/>
  <c r="AG186" i="1"/>
  <c r="AF186" i="1"/>
  <c r="AE186" i="1"/>
  <c r="AD186" i="1"/>
  <c r="AC186" i="1"/>
  <c r="AB186" i="1"/>
  <c r="AA186" i="1"/>
  <c r="Z186" i="1"/>
  <c r="Y186" i="1"/>
  <c r="X186" i="1"/>
  <c r="H8" i="19" l="1"/>
  <c r="H9" i="19"/>
  <c r="H10" i="19"/>
  <c r="H11" i="19"/>
  <c r="H12" i="19"/>
  <c r="H13" i="19"/>
  <c r="H14" i="19"/>
  <c r="H15" i="19"/>
  <c r="H16" i="19"/>
  <c r="H17" i="19"/>
  <c r="H18" i="19"/>
  <c r="H19" i="19"/>
  <c r="H20" i="19"/>
  <c r="H21" i="19"/>
  <c r="H22" i="19"/>
  <c r="G8" i="19"/>
  <c r="G9" i="19"/>
  <c r="G10" i="19"/>
  <c r="G11" i="19"/>
  <c r="G12" i="19"/>
  <c r="G13" i="19"/>
  <c r="G14" i="19"/>
  <c r="G15" i="19"/>
  <c r="G16" i="19"/>
  <c r="G17" i="19"/>
  <c r="G18" i="19"/>
  <c r="G19" i="19"/>
  <c r="G20" i="19"/>
  <c r="G21" i="19"/>
  <c r="G22" i="19"/>
  <c r="F8" i="19"/>
  <c r="F9" i="19"/>
  <c r="F10" i="19"/>
  <c r="F11" i="19"/>
  <c r="F12" i="19"/>
  <c r="F13" i="19"/>
  <c r="F14" i="19"/>
  <c r="F15" i="19"/>
  <c r="F16" i="19"/>
  <c r="F17" i="19"/>
  <c r="F18" i="19"/>
  <c r="F19" i="19"/>
  <c r="F20" i="19"/>
  <c r="F21" i="19"/>
  <c r="F22" i="19"/>
  <c r="E8" i="19"/>
  <c r="E9" i="19"/>
  <c r="E10" i="19"/>
  <c r="E11" i="19"/>
  <c r="E12" i="19"/>
  <c r="E13" i="19"/>
  <c r="E14" i="19"/>
  <c r="E15" i="19"/>
  <c r="E16" i="19"/>
  <c r="E17" i="19"/>
  <c r="E18" i="19"/>
  <c r="E19" i="19"/>
  <c r="E20" i="19"/>
  <c r="E21" i="19"/>
  <c r="E22" i="19"/>
  <c r="D8" i="19"/>
  <c r="D9" i="19"/>
  <c r="D10" i="19"/>
  <c r="D11" i="19"/>
  <c r="D12" i="19"/>
  <c r="D13" i="19"/>
  <c r="D14" i="19"/>
  <c r="D15" i="19"/>
  <c r="D16" i="19"/>
  <c r="D17" i="19"/>
  <c r="D18" i="19"/>
  <c r="D19" i="19"/>
  <c r="D20" i="19"/>
  <c r="D21" i="19"/>
  <c r="D22" i="19"/>
  <c r="C8" i="19"/>
  <c r="C9" i="19"/>
  <c r="C10" i="19"/>
  <c r="C11" i="19"/>
  <c r="C12" i="19"/>
  <c r="C13" i="19"/>
  <c r="C14" i="19"/>
  <c r="C15" i="19"/>
  <c r="C16" i="19"/>
  <c r="C17" i="19"/>
  <c r="C18" i="19"/>
  <c r="C19" i="19"/>
  <c r="C20" i="19"/>
  <c r="C21" i="19"/>
  <c r="C22" i="19"/>
  <c r="K2" i="3"/>
  <c r="H2" i="4"/>
  <c r="L2" i="50"/>
  <c r="J2" i="49"/>
  <c r="F7" i="19"/>
  <c r="C7" i="19"/>
  <c r="D7" i="19"/>
  <c r="H7" i="19"/>
  <c r="L2" i="47"/>
  <c r="H2" i="46" l="1"/>
  <c r="I2" i="40" l="1"/>
  <c r="K2" i="44" l="1"/>
  <c r="I2" i="43" l="1"/>
  <c r="I2" i="42"/>
  <c r="I2" i="41"/>
  <c r="H2" i="11"/>
  <c r="I2" i="10"/>
  <c r="H2" i="9"/>
  <c r="I2" i="8"/>
  <c r="H2" i="7"/>
  <c r="I2" i="39"/>
  <c r="G18" i="38"/>
  <c r="G17" i="38"/>
  <c r="G16" i="38"/>
  <c r="G15" i="38"/>
  <c r="G14" i="38"/>
  <c r="G13" i="38"/>
  <c r="G12" i="38"/>
  <c r="G11" i="38"/>
  <c r="G10" i="38"/>
  <c r="G9" i="38"/>
  <c r="G8" i="38"/>
  <c r="G7" i="38"/>
  <c r="E18" i="38"/>
  <c r="E17" i="38"/>
  <c r="E16" i="38"/>
  <c r="E15" i="38"/>
  <c r="E14" i="38"/>
  <c r="E13" i="38"/>
  <c r="E12" i="38"/>
  <c r="E11" i="38"/>
  <c r="E10" i="38"/>
  <c r="E9" i="38"/>
  <c r="E8" i="38"/>
  <c r="E7" i="38"/>
  <c r="C18" i="38"/>
  <c r="C17" i="38"/>
  <c r="C16" i="38"/>
  <c r="C15" i="38"/>
  <c r="C14" i="38"/>
  <c r="C13" i="38"/>
  <c r="C12" i="38"/>
  <c r="C11" i="38"/>
  <c r="C10" i="38"/>
  <c r="C9" i="38"/>
  <c r="C8" i="38"/>
  <c r="C7" i="38"/>
  <c r="E2" i="1" l="1"/>
  <c r="B12" i="1" s="1"/>
  <c r="I9" i="1"/>
  <c r="D23" i="16" s="1"/>
  <c r="D14" i="36"/>
  <c r="E14" i="36" s="1"/>
  <c r="F14" i="36" s="1"/>
  <c r="D13" i="36"/>
  <c r="E13" i="36" s="1"/>
  <c r="F13" i="36" s="1"/>
  <c r="D12" i="36"/>
  <c r="E12" i="36" s="1"/>
  <c r="F12" i="36" s="1"/>
  <c r="D11" i="36"/>
  <c r="E11" i="36" s="1"/>
  <c r="F11" i="36" s="1"/>
  <c r="D10" i="36"/>
  <c r="E10" i="36" s="1"/>
  <c r="F10" i="36" s="1"/>
  <c r="D9" i="36"/>
  <c r="E9" i="36" s="1"/>
  <c r="F9" i="36" s="1"/>
  <c r="D8" i="36"/>
  <c r="E8" i="36" s="1"/>
  <c r="F8" i="36" s="1"/>
  <c r="D7" i="36"/>
  <c r="E7" i="36" s="1"/>
  <c r="F7" i="36" s="1"/>
  <c r="D6" i="36"/>
  <c r="E6" i="36" s="1"/>
  <c r="F6" i="36" s="1"/>
  <c r="D5" i="36"/>
  <c r="E5" i="36" s="1"/>
  <c r="F5" i="36" s="1"/>
  <c r="D15" i="32"/>
  <c r="E15" i="32" s="1"/>
  <c r="F15" i="32" s="1"/>
  <c r="D14" i="32"/>
  <c r="E14" i="32" s="1"/>
  <c r="F14" i="32" s="1"/>
  <c r="D13" i="32"/>
  <c r="E13" i="32" s="1"/>
  <c r="F13" i="32" s="1"/>
  <c r="D12" i="32"/>
  <c r="E12" i="32" s="1"/>
  <c r="F12" i="32" s="1"/>
  <c r="D11" i="32"/>
  <c r="E11" i="32" s="1"/>
  <c r="F11" i="32" s="1"/>
  <c r="D10" i="32"/>
  <c r="E10" i="32" s="1"/>
  <c r="F10" i="32" s="1"/>
  <c r="D9" i="32"/>
  <c r="E9" i="32" s="1"/>
  <c r="F9" i="32" s="1"/>
  <c r="D8" i="32"/>
  <c r="E8" i="32" s="1"/>
  <c r="F8" i="32" s="1"/>
  <c r="D7" i="32"/>
  <c r="E7" i="32" s="1"/>
  <c r="F7" i="32" s="1"/>
  <c r="D6" i="32"/>
  <c r="E6" i="32" s="1"/>
  <c r="F6" i="32" s="1"/>
  <c r="D5" i="32"/>
  <c r="E5" i="32" s="1"/>
  <c r="F5" i="32" s="1"/>
  <c r="F18" i="38"/>
  <c r="D18" i="38"/>
  <c r="F17" i="38"/>
  <c r="D17" i="38"/>
  <c r="F16" i="38"/>
  <c r="D16" i="38"/>
  <c r="F15" i="38"/>
  <c r="D15" i="38"/>
  <c r="F14" i="38"/>
  <c r="D14" i="38"/>
  <c r="F13" i="38"/>
  <c r="D13" i="38"/>
  <c r="F12" i="38"/>
  <c r="D12" i="38"/>
  <c r="F11" i="38"/>
  <c r="D11" i="38"/>
  <c r="F10" i="38"/>
  <c r="D10" i="38"/>
  <c r="F9" i="38"/>
  <c r="D9" i="38"/>
  <c r="F8" i="38"/>
  <c r="D8" i="38"/>
  <c r="F7" i="38"/>
  <c r="D7" i="38"/>
  <c r="G7" i="19"/>
  <c r="E7" i="19"/>
  <c r="D19" i="17"/>
  <c r="F19" i="17"/>
  <c r="E19" i="17"/>
  <c r="C19" i="17"/>
  <c r="D18" i="17"/>
  <c r="F18" i="17"/>
  <c r="E18" i="17"/>
  <c r="C18" i="17"/>
  <c r="D17" i="17"/>
  <c r="F17" i="17"/>
  <c r="E17" i="17"/>
  <c r="C17" i="17"/>
  <c r="D16" i="17"/>
  <c r="F16" i="17"/>
  <c r="E16" i="17"/>
  <c r="C16" i="17"/>
  <c r="D15" i="17"/>
  <c r="F15" i="17"/>
  <c r="E15" i="17"/>
  <c r="C15" i="17"/>
  <c r="D14" i="17"/>
  <c r="F14" i="17"/>
  <c r="E14" i="17"/>
  <c r="C14" i="17"/>
  <c r="D13" i="17"/>
  <c r="F13" i="17"/>
  <c r="E13" i="17"/>
  <c r="C13" i="17"/>
  <c r="D12" i="17"/>
  <c r="F12" i="17"/>
  <c r="E12" i="17"/>
  <c r="C12" i="17"/>
  <c r="D11" i="17"/>
  <c r="F11" i="17"/>
  <c r="E11" i="17"/>
  <c r="C11" i="17"/>
  <c r="D10" i="17"/>
  <c r="F10" i="17"/>
  <c r="E10" i="17"/>
  <c r="C10" i="17"/>
  <c r="D9" i="17"/>
  <c r="F9" i="17"/>
  <c r="E9" i="17"/>
  <c r="C9" i="17"/>
  <c r="D8" i="17"/>
  <c r="F8" i="17"/>
  <c r="E8" i="17"/>
  <c r="C8" i="17"/>
  <c r="D7" i="17"/>
  <c r="F7" i="17"/>
  <c r="E7" i="17"/>
  <c r="C7" i="17"/>
  <c r="D6" i="17"/>
  <c r="F6" i="17"/>
  <c r="E6" i="17"/>
  <c r="C6" i="17"/>
  <c r="O11" i="16"/>
  <c r="O12" i="16" s="1"/>
  <c r="O13" i="16" s="1"/>
  <c r="N11" i="16"/>
  <c r="N12" i="16" s="1"/>
  <c r="N13" i="16" s="1"/>
  <c r="M11" i="16"/>
  <c r="M12" i="16" s="1"/>
  <c r="M13" i="16" s="1"/>
  <c r="L11" i="16"/>
  <c r="L12" i="16" s="1"/>
  <c r="L13" i="16" s="1"/>
  <c r="K11" i="16"/>
  <c r="K12" i="16" s="1"/>
  <c r="K13" i="16" s="1"/>
  <c r="J11" i="16"/>
  <c r="J12" i="16" s="1"/>
  <c r="J13" i="16" s="1"/>
  <c r="I11" i="16"/>
  <c r="I12" i="16" s="1"/>
  <c r="I13" i="16" s="1"/>
  <c r="H11" i="16"/>
  <c r="H12" i="16" s="1"/>
  <c r="H13" i="16" s="1"/>
  <c r="G11" i="16"/>
  <c r="G12" i="16" s="1"/>
  <c r="G13" i="16" s="1"/>
  <c r="F11" i="16"/>
  <c r="F12" i="16" s="1"/>
  <c r="F13" i="16" s="1"/>
  <c r="E11" i="16"/>
  <c r="E12" i="16" s="1"/>
  <c r="E13" i="16" s="1"/>
  <c r="D11" i="16"/>
  <c r="D12" i="16" s="1"/>
  <c r="D13" i="16" s="1"/>
  <c r="C11" i="16"/>
  <c r="C12" i="16" s="1"/>
  <c r="C13" i="16" s="1"/>
  <c r="O7" i="16"/>
  <c r="O8" i="16" s="1"/>
  <c r="O9" i="16" s="1"/>
  <c r="N7" i="16"/>
  <c r="N8" i="16" s="1"/>
  <c r="N9" i="16" s="1"/>
  <c r="M7" i="16"/>
  <c r="M8" i="16" s="1"/>
  <c r="M9" i="16" s="1"/>
  <c r="L7" i="16"/>
  <c r="L8" i="16" s="1"/>
  <c r="L9" i="16" s="1"/>
  <c r="K7" i="16"/>
  <c r="K8" i="16" s="1"/>
  <c r="K9" i="16" s="1"/>
  <c r="J7" i="16"/>
  <c r="J8" i="16" s="1"/>
  <c r="J9" i="16" s="1"/>
  <c r="I7" i="16"/>
  <c r="I8" i="16" s="1"/>
  <c r="I9" i="16" s="1"/>
  <c r="H7" i="16"/>
  <c r="H8" i="16" s="1"/>
  <c r="H9" i="16" s="1"/>
  <c r="G7" i="16"/>
  <c r="G8" i="16" s="1"/>
  <c r="G9" i="16" s="1"/>
  <c r="F7" i="16"/>
  <c r="F8" i="16" s="1"/>
  <c r="F9" i="16" s="1"/>
  <c r="E7" i="16"/>
  <c r="E8" i="16" s="1"/>
  <c r="E9" i="16" s="1"/>
  <c r="D7" i="16"/>
  <c r="D8" i="16" s="1"/>
  <c r="D9" i="16" s="1"/>
  <c r="C7" i="16"/>
  <c r="C8" i="16" s="1"/>
  <c r="C9" i="16" s="1"/>
  <c r="D15" i="26"/>
  <c r="D14" i="26"/>
  <c r="F14" i="26" s="1"/>
  <c r="D13" i="26"/>
  <c r="F13" i="26" s="1"/>
  <c r="D12" i="26"/>
  <c r="E12" i="26" s="1"/>
  <c r="D11" i="26"/>
  <c r="F11" i="26" s="1"/>
  <c r="D10" i="26"/>
  <c r="F10" i="26" s="1"/>
  <c r="D9" i="26"/>
  <c r="D8" i="26"/>
  <c r="F8" i="26" s="1"/>
  <c r="D7" i="26"/>
  <c r="D6" i="26"/>
  <c r="F6" i="26" s="1"/>
  <c r="D5" i="26"/>
  <c r="F5" i="26" s="1"/>
  <c r="O6" i="31"/>
  <c r="O7" i="31" s="1"/>
  <c r="N6" i="31"/>
  <c r="N7" i="31" s="1"/>
  <c r="M6" i="31"/>
  <c r="M7" i="31" s="1"/>
  <c r="L6" i="31"/>
  <c r="L7" i="31" s="1"/>
  <c r="K6" i="31"/>
  <c r="K7" i="31" s="1"/>
  <c r="J6" i="31"/>
  <c r="J7" i="31" s="1"/>
  <c r="I6" i="31"/>
  <c r="I7" i="31" s="1"/>
  <c r="H6" i="31"/>
  <c r="H7" i="31" s="1"/>
  <c r="G6" i="31"/>
  <c r="G7" i="31" s="1"/>
  <c r="F6" i="31"/>
  <c r="F7" i="31" s="1"/>
  <c r="E6" i="31"/>
  <c r="E7" i="31" s="1"/>
  <c r="D6" i="31"/>
  <c r="D7" i="31" s="1"/>
  <c r="C6" i="31"/>
  <c r="C7" i="31" s="1"/>
  <c r="O11" i="15"/>
  <c r="O12" i="15" s="1"/>
  <c r="N11" i="15"/>
  <c r="N12" i="15" s="1"/>
  <c r="M11" i="15"/>
  <c r="M12" i="15" s="1"/>
  <c r="L11" i="15"/>
  <c r="L12" i="15" s="1"/>
  <c r="K11" i="15"/>
  <c r="K12" i="15" s="1"/>
  <c r="J11" i="15"/>
  <c r="J12" i="15" s="1"/>
  <c r="I11" i="15"/>
  <c r="I12" i="15" s="1"/>
  <c r="H11" i="15"/>
  <c r="H12" i="15" s="1"/>
  <c r="G11" i="15"/>
  <c r="G12" i="15" s="1"/>
  <c r="F11" i="15"/>
  <c r="F12" i="15" s="1"/>
  <c r="E11" i="15"/>
  <c r="E12" i="15" s="1"/>
  <c r="D11" i="15"/>
  <c r="D12" i="15" s="1"/>
  <c r="C11" i="15"/>
  <c r="C12" i="15" s="1"/>
  <c r="O7" i="15"/>
  <c r="O8" i="15" s="1"/>
  <c r="N7" i="15"/>
  <c r="N8" i="15" s="1"/>
  <c r="M7" i="15"/>
  <c r="M8" i="15" s="1"/>
  <c r="L7" i="15"/>
  <c r="L8" i="15" s="1"/>
  <c r="K7" i="15"/>
  <c r="K8" i="15" s="1"/>
  <c r="J7" i="15"/>
  <c r="J8" i="15" s="1"/>
  <c r="I7" i="15"/>
  <c r="I8" i="15" s="1"/>
  <c r="H7" i="15"/>
  <c r="H8" i="15" s="1"/>
  <c r="G7" i="15"/>
  <c r="G8" i="15" s="1"/>
  <c r="F7" i="15"/>
  <c r="F8" i="15" s="1"/>
  <c r="E7" i="15"/>
  <c r="E8" i="15" s="1"/>
  <c r="D7" i="15"/>
  <c r="D8" i="15" s="1"/>
  <c r="C7" i="15"/>
  <c r="C8" i="15" s="1"/>
  <c r="K24" i="34"/>
  <c r="J24" i="34"/>
  <c r="I24" i="34"/>
  <c r="H24" i="34"/>
  <c r="G24" i="34"/>
  <c r="F24" i="34"/>
  <c r="E24" i="34"/>
  <c r="D24" i="34"/>
  <c r="C24" i="34"/>
  <c r="K23" i="34"/>
  <c r="J23" i="34"/>
  <c r="I23" i="34"/>
  <c r="H23" i="34"/>
  <c r="G23" i="34"/>
  <c r="F23" i="34"/>
  <c r="E23" i="34"/>
  <c r="D23" i="34"/>
  <c r="C23" i="34"/>
  <c r="K22" i="34"/>
  <c r="J22" i="34"/>
  <c r="I22" i="34"/>
  <c r="H22" i="34"/>
  <c r="G22" i="34"/>
  <c r="F22" i="34"/>
  <c r="E22" i="34"/>
  <c r="D22" i="34"/>
  <c r="C22" i="34"/>
  <c r="K21" i="34"/>
  <c r="J21" i="34"/>
  <c r="I21" i="34"/>
  <c r="H21" i="34"/>
  <c r="G21" i="34"/>
  <c r="F21" i="34"/>
  <c r="E21" i="34"/>
  <c r="D21" i="34"/>
  <c r="C21" i="34"/>
  <c r="K20" i="34"/>
  <c r="J20" i="34"/>
  <c r="I20" i="34"/>
  <c r="H20" i="34"/>
  <c r="G20" i="34"/>
  <c r="F20" i="34"/>
  <c r="E20" i="34"/>
  <c r="D20" i="34"/>
  <c r="C20" i="34"/>
  <c r="K19" i="34"/>
  <c r="J19" i="34"/>
  <c r="I19" i="34"/>
  <c r="H19" i="34"/>
  <c r="G19" i="34"/>
  <c r="F19" i="34"/>
  <c r="E19" i="34"/>
  <c r="D19" i="34"/>
  <c r="C19" i="34"/>
  <c r="K18" i="34"/>
  <c r="J18" i="34"/>
  <c r="I18" i="34"/>
  <c r="H18" i="34"/>
  <c r="G18" i="34"/>
  <c r="F18" i="34"/>
  <c r="E18" i="34"/>
  <c r="D18" i="34"/>
  <c r="C18" i="34"/>
  <c r="K17" i="34"/>
  <c r="J17" i="34"/>
  <c r="I17" i="34"/>
  <c r="H17" i="34"/>
  <c r="G17" i="34"/>
  <c r="F17" i="34"/>
  <c r="E17" i="34"/>
  <c r="D17" i="34"/>
  <c r="C17" i="34"/>
  <c r="K16" i="34"/>
  <c r="J16" i="34"/>
  <c r="I16" i="34"/>
  <c r="H16" i="34"/>
  <c r="G16" i="34"/>
  <c r="F16" i="34"/>
  <c r="E16" i="34"/>
  <c r="D16" i="34"/>
  <c r="C16" i="34"/>
  <c r="K15" i="34"/>
  <c r="J15" i="34"/>
  <c r="I15" i="34"/>
  <c r="H15" i="34"/>
  <c r="G15" i="34"/>
  <c r="F15" i="34"/>
  <c r="E15" i="34"/>
  <c r="D15" i="34"/>
  <c r="C15" i="34"/>
  <c r="K14" i="34"/>
  <c r="J14" i="34"/>
  <c r="I14" i="34"/>
  <c r="H14" i="34"/>
  <c r="G14" i="34"/>
  <c r="F14" i="34"/>
  <c r="E14" i="34"/>
  <c r="D14" i="34"/>
  <c r="C14" i="34"/>
  <c r="K13" i="34"/>
  <c r="J13" i="34"/>
  <c r="I13" i="34"/>
  <c r="H13" i="34"/>
  <c r="G13" i="34"/>
  <c r="F13" i="34"/>
  <c r="E13" i="34"/>
  <c r="D13" i="34"/>
  <c r="C13" i="34"/>
  <c r="K12" i="34"/>
  <c r="J12" i="34"/>
  <c r="I12" i="34"/>
  <c r="H12" i="34"/>
  <c r="G12" i="34"/>
  <c r="F12" i="34"/>
  <c r="E12" i="34"/>
  <c r="D12" i="34"/>
  <c r="C12" i="34"/>
  <c r="K11" i="34"/>
  <c r="J11" i="34"/>
  <c r="I11" i="34"/>
  <c r="H11" i="34"/>
  <c r="G11" i="34"/>
  <c r="F11" i="34"/>
  <c r="E11" i="34"/>
  <c r="D11" i="34"/>
  <c r="C11" i="34"/>
  <c r="K10" i="34"/>
  <c r="J10" i="34"/>
  <c r="I10" i="34"/>
  <c r="H10" i="34"/>
  <c r="G10" i="34"/>
  <c r="F10" i="34"/>
  <c r="E10" i="34"/>
  <c r="D10" i="34"/>
  <c r="C10" i="34"/>
  <c r="K9" i="34"/>
  <c r="J9" i="34"/>
  <c r="I9" i="34"/>
  <c r="H9" i="34"/>
  <c r="G9" i="34"/>
  <c r="F9" i="34"/>
  <c r="E9" i="34"/>
  <c r="D9" i="34"/>
  <c r="C9" i="34"/>
  <c r="K8" i="34"/>
  <c r="J8" i="34"/>
  <c r="I8" i="34"/>
  <c r="H8" i="34"/>
  <c r="G8" i="34"/>
  <c r="F8" i="34"/>
  <c r="E8" i="34"/>
  <c r="D8" i="34"/>
  <c r="C8" i="34"/>
  <c r="K7" i="34"/>
  <c r="J7" i="34"/>
  <c r="I7" i="34"/>
  <c r="H7" i="34"/>
  <c r="G7" i="34"/>
  <c r="F7" i="34"/>
  <c r="E7" i="34"/>
  <c r="D7" i="34"/>
  <c r="C7" i="34"/>
  <c r="K6" i="34"/>
  <c r="J6" i="34"/>
  <c r="I6" i="34"/>
  <c r="H6" i="34"/>
  <c r="G6" i="34"/>
  <c r="F6" i="34"/>
  <c r="E6" i="34"/>
  <c r="D6" i="34"/>
  <c r="C6" i="34"/>
  <c r="K5" i="34"/>
  <c r="J5" i="34"/>
  <c r="I5" i="34"/>
  <c r="H5" i="34"/>
  <c r="G5" i="34"/>
  <c r="F5" i="34"/>
  <c r="E5" i="34"/>
  <c r="D5" i="34"/>
  <c r="C5" i="34"/>
  <c r="D15" i="29"/>
  <c r="D14" i="29"/>
  <c r="D13" i="29"/>
  <c r="D12" i="29"/>
  <c r="D11" i="29"/>
  <c r="D10" i="29"/>
  <c r="D9" i="29"/>
  <c r="D8" i="29"/>
  <c r="D7" i="29"/>
  <c r="D6" i="29"/>
  <c r="D5" i="29"/>
  <c r="D19" i="28"/>
  <c r="D18" i="28"/>
  <c r="D17" i="28"/>
  <c r="D16" i="28"/>
  <c r="D15" i="28"/>
  <c r="D14" i="28"/>
  <c r="D13" i="28"/>
  <c r="D12" i="28"/>
  <c r="D11" i="28"/>
  <c r="D10" i="28"/>
  <c r="D9" i="28"/>
  <c r="D8" i="28"/>
  <c r="D7" i="28"/>
  <c r="D6" i="28"/>
  <c r="D5" i="28"/>
  <c r="C9" i="12"/>
  <c r="F9" i="1"/>
  <c r="D9" i="12" s="1"/>
  <c r="D9" i="1"/>
  <c r="D24" i="30"/>
  <c r="D23" i="30"/>
  <c r="D22" i="30"/>
  <c r="D21" i="30"/>
  <c r="D20" i="30"/>
  <c r="D19" i="30"/>
  <c r="D18" i="30"/>
  <c r="D17" i="30"/>
  <c r="D16" i="30"/>
  <c r="D15" i="30"/>
  <c r="D14" i="30"/>
  <c r="D13" i="30"/>
  <c r="D12" i="30"/>
  <c r="D11" i="30"/>
  <c r="D10" i="30"/>
  <c r="D9" i="30"/>
  <c r="D8" i="30"/>
  <c r="D7" i="30"/>
  <c r="D6" i="30"/>
  <c r="D5" i="30"/>
  <c r="D15" i="25"/>
  <c r="D14" i="25"/>
  <c r="D13" i="25"/>
  <c r="D12" i="25"/>
  <c r="D11" i="25"/>
  <c r="D10" i="25"/>
  <c r="D9" i="25"/>
  <c r="D8" i="25"/>
  <c r="D7" i="25"/>
  <c r="D6" i="25"/>
  <c r="D5" i="25"/>
  <c r="F24" i="5"/>
  <c r="E24" i="5"/>
  <c r="D24" i="5"/>
  <c r="C24" i="5"/>
  <c r="F23" i="5"/>
  <c r="E23" i="5"/>
  <c r="D23" i="5"/>
  <c r="C23" i="5"/>
  <c r="F22" i="5"/>
  <c r="E22" i="5"/>
  <c r="D22" i="5"/>
  <c r="C22" i="5"/>
  <c r="F21" i="5"/>
  <c r="E21" i="5"/>
  <c r="D21" i="5"/>
  <c r="C21" i="5"/>
  <c r="F20" i="5"/>
  <c r="E20" i="5"/>
  <c r="D20" i="5"/>
  <c r="C20" i="5"/>
  <c r="F19" i="5"/>
  <c r="E19" i="5"/>
  <c r="D19" i="5"/>
  <c r="C19" i="5"/>
  <c r="F18" i="5"/>
  <c r="E18" i="5"/>
  <c r="D18" i="5"/>
  <c r="C18" i="5"/>
  <c r="F17" i="5"/>
  <c r="E17" i="5"/>
  <c r="D17" i="5"/>
  <c r="C17" i="5"/>
  <c r="F16" i="5"/>
  <c r="E16" i="5"/>
  <c r="D16" i="5"/>
  <c r="C16" i="5"/>
  <c r="F15" i="5"/>
  <c r="E15" i="5"/>
  <c r="D15" i="5"/>
  <c r="C15" i="5"/>
  <c r="F14" i="5"/>
  <c r="E14" i="5"/>
  <c r="D14" i="5"/>
  <c r="C14" i="5"/>
  <c r="F13" i="5"/>
  <c r="E13" i="5"/>
  <c r="D13" i="5"/>
  <c r="C13" i="5"/>
  <c r="F12" i="5"/>
  <c r="E12" i="5"/>
  <c r="D12" i="5"/>
  <c r="C12" i="5"/>
  <c r="F11" i="5"/>
  <c r="E11" i="5"/>
  <c r="D11" i="5"/>
  <c r="C11" i="5"/>
  <c r="F10" i="5"/>
  <c r="E10" i="5"/>
  <c r="D10" i="5"/>
  <c r="C10" i="5"/>
  <c r="F9" i="5"/>
  <c r="E9" i="5"/>
  <c r="D9" i="5"/>
  <c r="C9" i="5"/>
  <c r="F8" i="5"/>
  <c r="E8" i="5"/>
  <c r="D8" i="5"/>
  <c r="C8" i="5"/>
  <c r="F7" i="5"/>
  <c r="E7" i="5"/>
  <c r="D7" i="5"/>
  <c r="C7" i="5"/>
  <c r="F6" i="5"/>
  <c r="E6" i="5"/>
  <c r="D6" i="5"/>
  <c r="C6" i="5"/>
  <c r="F5" i="5"/>
  <c r="E5" i="5"/>
  <c r="D5" i="5"/>
  <c r="C5" i="5"/>
  <c r="I8" i="1"/>
  <c r="D22" i="16" s="1"/>
  <c r="I7" i="1"/>
  <c r="D21" i="16" s="1"/>
  <c r="I6" i="1"/>
  <c r="D20" i="16" s="1"/>
  <c r="F19" i="1"/>
  <c r="E7" i="27" s="1"/>
  <c r="E8" i="27" s="1"/>
  <c r="D20" i="1"/>
  <c r="D9" i="27" s="1"/>
  <c r="D10" i="27" s="1"/>
  <c r="F15" i="1"/>
  <c r="F7" i="1"/>
  <c r="D6" i="12" s="1"/>
  <c r="K2" i="34"/>
  <c r="G2" i="38"/>
  <c r="O2" i="15"/>
  <c r="G2" i="36"/>
  <c r="F2" i="27"/>
  <c r="G2" i="32"/>
  <c r="H2" i="18"/>
  <c r="H2" i="19"/>
  <c r="F2" i="17"/>
  <c r="O2" i="16"/>
  <c r="G2" i="26"/>
  <c r="O2" i="31"/>
  <c r="F2" i="29"/>
  <c r="E2" i="28"/>
  <c r="E11" i="21"/>
  <c r="E2" i="21" s="1"/>
  <c r="H2" i="13"/>
  <c r="H33" i="13" s="1"/>
  <c r="D2" i="12"/>
  <c r="E2" i="30"/>
  <c r="E2" i="25"/>
  <c r="F2" i="5"/>
  <c r="F6" i="1" l="1"/>
  <c r="D5" i="12" s="1"/>
  <c r="F18" i="1"/>
  <c r="E5" i="27" s="1"/>
  <c r="E6" i="27" s="1"/>
  <c r="B6" i="1"/>
  <c r="D15" i="1"/>
  <c r="D18" i="1"/>
  <c r="D5" i="27" s="1"/>
  <c r="D6" i="27" s="1"/>
  <c r="F16" i="1"/>
  <c r="B15" i="1"/>
  <c r="D6" i="1"/>
  <c r="C5" i="12" s="1"/>
  <c r="F21" i="1"/>
  <c r="E11" i="27" s="1"/>
  <c r="E12" i="27" s="1"/>
  <c r="D19" i="1"/>
  <c r="D7" i="27" s="1"/>
  <c r="D8" i="27" s="1"/>
  <c r="D7" i="1"/>
  <c r="C6" i="12" s="1"/>
  <c r="F8" i="1"/>
  <c r="D7" i="12" s="1"/>
  <c r="D21" i="1"/>
  <c r="D11" i="27" s="1"/>
  <c r="D12" i="27" s="1"/>
  <c r="D8" i="1"/>
  <c r="C7" i="12" s="1"/>
  <c r="F20" i="1"/>
  <c r="E9" i="27" s="1"/>
  <c r="E10" i="27" s="1"/>
  <c r="B9" i="1"/>
  <c r="E3" i="1"/>
  <c r="B16" i="1" s="1"/>
  <c r="F12" i="26"/>
  <c r="D16" i="1"/>
  <c r="E11" i="26"/>
  <c r="I15" i="1"/>
  <c r="E14" i="26"/>
  <c r="E6" i="26"/>
  <c r="E8" i="26"/>
  <c r="E10" i="26"/>
  <c r="E13" i="26"/>
  <c r="E5" i="26"/>
  <c r="F9" i="26"/>
  <c r="E9" i="26"/>
  <c r="F7" i="26"/>
  <c r="E7" i="26"/>
  <c r="F15" i="26"/>
  <c r="E15" i="26"/>
  <c r="I16" i="1" l="1"/>
</calcChain>
</file>

<file path=xl/sharedStrings.xml><?xml version="1.0" encoding="utf-8"?>
<sst xmlns="http://schemas.openxmlformats.org/spreadsheetml/2006/main" count="770" uniqueCount="387">
  <si>
    <t xml:space="preserve"> </t>
  </si>
  <si>
    <t>$20 per game</t>
  </si>
  <si>
    <t>$25 per game</t>
  </si>
  <si>
    <t>$45 per game</t>
  </si>
  <si>
    <t>% Base Salary</t>
  </si>
  <si>
    <t>0-4</t>
  </si>
  <si>
    <t>1       Flag Corps</t>
  </si>
  <si>
    <t>10+</t>
  </si>
  <si>
    <t>1-A   HS 9G Baseball</t>
  </si>
  <si>
    <t>1-A   HS Baseball</t>
  </si>
  <si>
    <t>1-A   HS Softball</t>
  </si>
  <si>
    <t>1-H   HS Baseball</t>
  </si>
  <si>
    <t>1-H   HS Cr. Country</t>
  </si>
  <si>
    <t>1-H   HS Football*</t>
  </si>
  <si>
    <t>1-H   HS Golf</t>
  </si>
  <si>
    <t>1-H   HS Softball</t>
  </si>
  <si>
    <t>1-H   HS Swimming</t>
  </si>
  <si>
    <t>1-H   HS Track</t>
  </si>
  <si>
    <t>1-H   HS Volleyball</t>
  </si>
  <si>
    <t>20 Year</t>
  </si>
  <si>
    <t>2-A   9G Basketball</t>
  </si>
  <si>
    <t>2-A   HS Basketball</t>
  </si>
  <si>
    <t>2-A   HS Soccer</t>
  </si>
  <si>
    <t>2-A   MS Track</t>
  </si>
  <si>
    <t>2-H   HS Basketball*</t>
  </si>
  <si>
    <t>2-H   HS Soccer</t>
  </si>
  <si>
    <t>2-H   MS Cr. Country</t>
  </si>
  <si>
    <t>2-H   MS Football</t>
  </si>
  <si>
    <t>2-H   MS Volleyball</t>
  </si>
  <si>
    <t>3-A   9G Football</t>
  </si>
  <si>
    <t>3-A   HS Track</t>
  </si>
  <si>
    <t>4-H   MS Basketball</t>
  </si>
  <si>
    <t>5-9</t>
  </si>
  <si>
    <t>ALL OTHER TOURNAMENT SPORTS</t>
  </si>
  <si>
    <t>Annual</t>
  </si>
  <si>
    <t>BASKETBALL GAMES</t>
  </si>
  <si>
    <t>BS</t>
  </si>
  <si>
    <t>BS+10</t>
  </si>
  <si>
    <t>BS+20</t>
  </si>
  <si>
    <t>Chief Custodian</t>
  </si>
  <si>
    <t>Class</t>
  </si>
  <si>
    <t>Classification</t>
  </si>
  <si>
    <t>Computer Tech I</t>
  </si>
  <si>
    <t>Computer Tech II</t>
  </si>
  <si>
    <t>Coordinator for concession sales - basketball</t>
  </si>
  <si>
    <t>Coordinator for concession sales - football</t>
  </si>
  <si>
    <t>Daily</t>
  </si>
  <si>
    <t>Directors</t>
  </si>
  <si>
    <t>DR.</t>
  </si>
  <si>
    <t>ECC DIRECTOR</t>
  </si>
  <si>
    <t>ED.S</t>
  </si>
  <si>
    <t>Experience</t>
  </si>
  <si>
    <t>Experience in Years</t>
  </si>
  <si>
    <t>Food Service Managers</t>
  </si>
  <si>
    <t>Food Service Workers</t>
  </si>
  <si>
    <t>FOOTBALL GAMES</t>
  </si>
  <si>
    <t>HOME FOOTBALL AND BASKETBALL GAMES</t>
  </si>
  <si>
    <t>Hourly Rate</t>
  </si>
  <si>
    <t>I</t>
  </si>
  <si>
    <t>II</t>
  </si>
  <si>
    <t>III</t>
  </si>
  <si>
    <t>Index</t>
  </si>
  <si>
    <t>IV</t>
  </si>
  <si>
    <t>Large Elementary</t>
  </si>
  <si>
    <t>Maximum</t>
  </si>
  <si>
    <t>MAXIMUM</t>
  </si>
  <si>
    <t>Middle Schools</t>
  </si>
  <si>
    <t>Minimum</t>
  </si>
  <si>
    <t>MINIMUM</t>
  </si>
  <si>
    <t>MS</t>
  </si>
  <si>
    <t>MS+10</t>
  </si>
  <si>
    <t>MS+20</t>
  </si>
  <si>
    <t>MS+30</t>
  </si>
  <si>
    <t>Non Degree</t>
  </si>
  <si>
    <t>planning period</t>
  </si>
  <si>
    <t>Position</t>
  </si>
  <si>
    <t>POSITION</t>
  </si>
  <si>
    <t>Raise</t>
  </si>
  <si>
    <t>SALARY</t>
  </si>
  <si>
    <t>Secretarial/Clerical and Teacher Assistant Substitutes</t>
  </si>
  <si>
    <t xml:space="preserve">Site Director Salary Schedule </t>
  </si>
  <si>
    <t>Step</t>
  </si>
  <si>
    <t>STEP</t>
  </si>
  <si>
    <t>Steps</t>
  </si>
  <si>
    <t>Substitutes</t>
  </si>
  <si>
    <t>Summer Librarians</t>
  </si>
  <si>
    <t>Summer School Teacher</t>
  </si>
  <si>
    <t>Ticket sales/ticket takers</t>
  </si>
  <si>
    <t>TOURNAMENT DIRECTOR OR CO-DIRECTOR</t>
  </si>
  <si>
    <t>TSSAA PLAYOFF GAMES AND ATHLETIC EVENTS PAYMENTS</t>
  </si>
  <si>
    <t>V</t>
  </si>
  <si>
    <t>The exact salary will be determined at the earliest possible date, based on an evaluation of performance in the assignment.</t>
  </si>
  <si>
    <t>Class A</t>
  </si>
  <si>
    <t>Custodian</t>
  </si>
  <si>
    <t>Foreman</t>
  </si>
  <si>
    <t>Elementary/Other</t>
  </si>
  <si>
    <t>Coordinator for game workers/ticket takers - football</t>
  </si>
  <si>
    <t>$80 per game</t>
  </si>
  <si>
    <t>$60 per game</t>
  </si>
  <si>
    <t>Coordinator for game workers/ticket takers - basketball</t>
  </si>
  <si>
    <t>1-H   HS Band Director</t>
  </si>
  <si>
    <t>3-A   HS Band Director</t>
  </si>
  <si>
    <t>$6000/Year</t>
  </si>
  <si>
    <t>1 -  A  HS Cheerleader</t>
  </si>
  <si>
    <t>The exact salaries are established near the end of the school year by the Superintendent of Schools and are based primarily on the accomplishment of performance objectives which were approved at the beginning of the school year.</t>
  </si>
  <si>
    <t>HOURLY RATES FOR SPECIAL PROGRAMS OR PROJECTS</t>
  </si>
  <si>
    <t>SUBSTITUTE TEACHER RATES</t>
  </si>
  <si>
    <t>FOOD SERVICE SALARY SCHEDULE</t>
  </si>
  <si>
    <t>$12,000/Year</t>
  </si>
  <si>
    <t>CENTRAL OFFICE STAFF SALARY SCHEDULE  -- 12 MONTHS</t>
  </si>
  <si>
    <t>EXTENDED CHILD CARE SALARY SCHEDULE -- 12 MONTHS</t>
  </si>
  <si>
    <t>Hourly</t>
  </si>
  <si>
    <t>Salaries are based on 191 days.  Daily and hourly rates are approximate.</t>
  </si>
  <si>
    <t>Salaries are based on 191 days. Daily and hourly rates are approximate.</t>
  </si>
  <si>
    <t>HOURLY</t>
  </si>
  <si>
    <t>Salaries are based on 261 days.  Daily and hourly rates are approximate.</t>
  </si>
  <si>
    <t>WEIGHT ROOM COORDINATOR</t>
  </si>
  <si>
    <t>$4000/Year</t>
  </si>
  <si>
    <t>An Amount Authorized by TSSAA</t>
  </si>
  <si>
    <t>High School</t>
  </si>
  <si>
    <t>CERTIFIED OCCUPATIONAL AND PHYSICAL THERAPIST ASSISTANT SALARY SCHEDULE</t>
  </si>
  <si>
    <t>Non-Academic Supervisors</t>
  </si>
  <si>
    <t>Executive Directors</t>
  </si>
  <si>
    <t>Technicians</t>
  </si>
  <si>
    <t>Technician Apprentice</t>
  </si>
  <si>
    <t>Maintenance Generalist</t>
  </si>
  <si>
    <t>Applications Administrator</t>
  </si>
  <si>
    <t>2-H   HS Tennis</t>
  </si>
  <si>
    <t>HS ATHLETIC DIRECTOR</t>
  </si>
  <si>
    <t>MS ATHLETIC DIRECTOR</t>
  </si>
  <si>
    <t>$4,000/Year</t>
  </si>
  <si>
    <t>HS ASST. ATHLETIC DIRECTOR</t>
  </si>
  <si>
    <t>COLA</t>
  </si>
  <si>
    <t>YEAR</t>
  </si>
  <si>
    <t>Old Rate</t>
  </si>
  <si>
    <t>New Rate</t>
  </si>
  <si>
    <t>Copy New Rate to Old Rate to Calculate Increases</t>
  </si>
  <si>
    <t>ECC I-0</t>
  </si>
  <si>
    <t>ECCII-0</t>
  </si>
  <si>
    <t>1BS-0</t>
  </si>
  <si>
    <t>1BS-10</t>
  </si>
  <si>
    <t>1BS-20</t>
  </si>
  <si>
    <t>2MS-0</t>
  </si>
  <si>
    <t>2MS-10</t>
  </si>
  <si>
    <t>2MS-20</t>
  </si>
  <si>
    <t>2MS-30</t>
  </si>
  <si>
    <t>3EDS-0</t>
  </si>
  <si>
    <t>4DR-0</t>
  </si>
  <si>
    <t>Counselor and Coordinator</t>
  </si>
  <si>
    <t>C1BS-0</t>
  </si>
  <si>
    <t>C1BS-10</t>
  </si>
  <si>
    <t>C1BS-20</t>
  </si>
  <si>
    <t>C2MS-0</t>
  </si>
  <si>
    <t>C2MS-10</t>
  </si>
  <si>
    <t>Psychologist</t>
  </si>
  <si>
    <t>P1MS-0</t>
  </si>
  <si>
    <t>P1MS-30</t>
  </si>
  <si>
    <t>P2EDS-0</t>
  </si>
  <si>
    <t>P3DR-0</t>
  </si>
  <si>
    <t>A-C04-0</t>
  </si>
  <si>
    <t>A-C05-0</t>
  </si>
  <si>
    <t>A-C15-0</t>
  </si>
  <si>
    <t>A-D09-0</t>
  </si>
  <si>
    <t>A-D11-0</t>
  </si>
  <si>
    <t>ADMINISTRATION BASE</t>
  </si>
  <si>
    <t>MIDDLE SCHOOL ASSISTANT PRINCIPAL SALARY SCHEDULE - 12 MONTHS</t>
  </si>
  <si>
    <t>CENTRAL OFFICE ADMINS</t>
  </si>
  <si>
    <t>Old Min</t>
  </si>
  <si>
    <t>New Min</t>
  </si>
  <si>
    <t>Old Max</t>
  </si>
  <si>
    <t>New Max</t>
  </si>
  <si>
    <t>COACHING BASE</t>
  </si>
  <si>
    <t>SUBSTITUTES</t>
  </si>
  <si>
    <t>FLAT RATES</t>
  </si>
  <si>
    <t>INTERPRETER</t>
  </si>
  <si>
    <t>OT/PT</t>
  </si>
  <si>
    <t>NURSE COOR</t>
  </si>
  <si>
    <t>SP MED COOR</t>
  </si>
  <si>
    <t>CT1BS-0</t>
  </si>
  <si>
    <t>CT1BS-10</t>
  </si>
  <si>
    <t>CT1BS-20</t>
  </si>
  <si>
    <t>CT2MS-0</t>
  </si>
  <si>
    <t>CT2MS-10</t>
  </si>
  <si>
    <t>CT2MS-20</t>
  </si>
  <si>
    <t>CT2MS-30</t>
  </si>
  <si>
    <t>CT3ED-0</t>
  </si>
  <si>
    <t>CT4DR-0</t>
  </si>
  <si>
    <t>CATIF/INSTRUCTIONAL TECH COACH</t>
  </si>
  <si>
    <t>A S/C-0</t>
  </si>
  <si>
    <t>B S/C-0</t>
  </si>
  <si>
    <t>C S/C-0</t>
  </si>
  <si>
    <t>D S/C-0</t>
  </si>
  <si>
    <t>E S/C-0</t>
  </si>
  <si>
    <t>OFFICE SUPPORT STAFF</t>
  </si>
  <si>
    <t>TA I-0</t>
  </si>
  <si>
    <t>TA II-0</t>
  </si>
  <si>
    <t>TEACHER ASSISTANTS</t>
  </si>
  <si>
    <t>PARA-0</t>
  </si>
  <si>
    <t>PARAPRO</t>
  </si>
  <si>
    <t>ECC HOURLY/SUBS CALCULATION</t>
  </si>
  <si>
    <t>ECC SITE DIRECTOR</t>
  </si>
  <si>
    <t>FRMN-0</t>
  </si>
  <si>
    <t>GRDLK-0</t>
  </si>
  <si>
    <t>MGLT-0</t>
  </si>
  <si>
    <t>MTEC-0</t>
  </si>
  <si>
    <t>MAINTENANCE</t>
  </si>
  <si>
    <t>CFELL-0</t>
  </si>
  <si>
    <t>CFELO-0</t>
  </si>
  <si>
    <t>CFHS-0</t>
  </si>
  <si>
    <t>CFMDS-0</t>
  </si>
  <si>
    <t>CUS A-0</t>
  </si>
  <si>
    <t>CUSTODIANS - OLD</t>
  </si>
  <si>
    <t>CUSTODIANS - NEW</t>
  </si>
  <si>
    <t>FOOD SERVICE</t>
  </si>
  <si>
    <t>FSMGR-0</t>
  </si>
  <si>
    <t>FSWKS-0</t>
  </si>
  <si>
    <t>DAILY</t>
  </si>
  <si>
    <t>Systems Engineer</t>
  </si>
  <si>
    <t>TECHNOLOGY</t>
  </si>
  <si>
    <t>NURSE</t>
  </si>
  <si>
    <t>COTA</t>
  </si>
  <si>
    <t>PSYCHOLOGIST SALARY SCHEDULE- 226 DAYS</t>
  </si>
  <si>
    <t>OT/PT THERAPIST SALARY SCHEDULE  -226 DAYS</t>
  </si>
  <si>
    <t>NURSE COORDINATOR SALARY SCHEDULE - 226</t>
  </si>
  <si>
    <t>ELEMENTARY PRINCIPAL SALARY SCHEDULE - 12 MONTHS</t>
  </si>
  <si>
    <t>MIDDLE SCHOOL PRINCIPAL SALARY SCHEDULE - 12 MONTHS</t>
  </si>
  <si>
    <t>HIGH SCHOOL PRINCIPAL SALARY SCHEDULE- 12 MONTH</t>
  </si>
  <si>
    <t>COACHING AND SALARY AND SUPPLEMENT SCHEDULE</t>
  </si>
  <si>
    <t>*Also receives</t>
  </si>
  <si>
    <t>COACHING REGULAR SEASON, TOURNAMENT AND PLAYOFF GAME PAYMENTS</t>
  </si>
  <si>
    <t>INTERPRETER SALARY SCHEDULE - 191 DAYS</t>
  </si>
  <si>
    <t>SPORTS MEDICINE COORDINATOR SALARY SCHEDULE -232 DAYS</t>
  </si>
  <si>
    <t>INSTRUCTIONAL TECHNOLOGY COACHES SALARY SCHEDULE - 221 DAYS</t>
  </si>
  <si>
    <t>ECC DIRECTOR SALARY SCHEDULE- 12 MONTH</t>
  </si>
  <si>
    <t>MAINTENANCE SALARY SCHEDULE</t>
  </si>
  <si>
    <t>REGISTERED NURSE SALARY SCHEDULE- 192 DAYS</t>
  </si>
  <si>
    <t>Salary</t>
  </si>
  <si>
    <t xml:space="preserve">TECHNOLOGY STAFF SALARY SCHEDULE </t>
  </si>
  <si>
    <t>TEACHER/LIBRARIAN MATRIX</t>
  </si>
  <si>
    <t>SPED Teacher Substitutes</t>
  </si>
  <si>
    <t>ECC Hourly Rate Workers</t>
  </si>
  <si>
    <t>To Print:  Control Q</t>
  </si>
  <si>
    <t>SPED TA</t>
  </si>
  <si>
    <t>Full Day supplement to base</t>
  </si>
  <si>
    <t>DEAN'S BASE</t>
  </si>
  <si>
    <t>Export Matrices from Skyward - copy and paste below</t>
  </si>
  <si>
    <t>0</t>
  </si>
  <si>
    <t>EDS</t>
  </si>
  <si>
    <t>DR</t>
  </si>
  <si>
    <t xml:space="preserve">NEW CUSTODIAL SALARY SCHEDULE  </t>
  </si>
  <si>
    <t>MIDDLE SCHOOL DEANS SALARY SCHEDULE - 12 MONTHS</t>
  </si>
  <si>
    <t>ELEMENTARY ASSISTANT PRINCIPAL SALARY SCHEDULE - 12 MONTHS</t>
  </si>
  <si>
    <t>DATA COORDINATOR - 12 MONTHS</t>
  </si>
  <si>
    <t>SUPERVISOR LICENSED SALARY SCHEDULE - 12 MONTHS</t>
  </si>
  <si>
    <t>INSTRUCTIONAL TECHNOLOGY COACHES - 221 DAYS</t>
  </si>
  <si>
    <t xml:space="preserve">APPENDIX </t>
  </si>
  <si>
    <t>NO.</t>
  </si>
  <si>
    <t>C</t>
  </si>
  <si>
    <t>D</t>
  </si>
  <si>
    <t>TAB</t>
  </si>
  <si>
    <t>TEACH (OLD)</t>
  </si>
  <si>
    <t>TEACH (NEW)</t>
  </si>
  <si>
    <t>CATIF</t>
  </si>
  <si>
    <t>DATA COORD</t>
  </si>
  <si>
    <t>ELEM PRINCIPAL</t>
  </si>
  <si>
    <t>ELEM ASST. PRINCIPAL</t>
  </si>
  <si>
    <t>DEANS</t>
  </si>
  <si>
    <t>MS ASST. PRINCIPAL</t>
  </si>
  <si>
    <t>MS PRINCIPAL</t>
  </si>
  <si>
    <t>HS ASST. PRINCIPAL</t>
  </si>
  <si>
    <t>HS PRINCIPAL</t>
  </si>
  <si>
    <t>DISTRICT SUPPORT STAFF</t>
  </si>
  <si>
    <t>TEACHER ASST.</t>
  </si>
  <si>
    <t>CUSTODIAN (OLD)</t>
  </si>
  <si>
    <t>CUSTODIAN (NEW)</t>
  </si>
  <si>
    <t>FOOD SERVICES</t>
  </si>
  <si>
    <t xml:space="preserve">NEW TEACHER AND LIBRARIAN SALARY SCHEDULE - 206 DAYS        </t>
  </si>
  <si>
    <t>HIGH SCHOOL ASSISTANT PRINCIPAL SALARY SCHEDULE - 12 MONTHS</t>
  </si>
  <si>
    <t xml:space="preserve">TEACHER ASSISTANT SALARY SCHEDULE  (OLD SCALE) - 191 DAYS </t>
  </si>
  <si>
    <t>PARA-PROFESSIONAL SALARY SCHEDULE (OLD SCALE) - 191 DAYS</t>
  </si>
  <si>
    <t xml:space="preserve">Para-professional staff hired after 7-1-2020 will be placed on District Support Staff salary schedule (D-1). </t>
  </si>
  <si>
    <t xml:space="preserve">Teacher Assistant staff hired after 7-1-2020 will be placed on District Support Staff salary schedule (D-1). </t>
  </si>
  <si>
    <t>Applies to custodial staff hired prior to 4/22/2013</t>
  </si>
  <si>
    <t>CUSTODIAL SALARY SCHEDULE  (OLD SCALE)</t>
  </si>
  <si>
    <t>Bachelor's Degree</t>
  </si>
  <si>
    <t xml:space="preserve">SUPERVISOR LICENSED </t>
  </si>
  <si>
    <t>PLC COACH</t>
  </si>
  <si>
    <t>COACHING</t>
  </si>
  <si>
    <t>TEACHER AND LIBRARIAN SALARY SCHEDULE  - 206 DAYS (OLD SCALE)</t>
  </si>
  <si>
    <t>HIGH PLC COACH  226 DAYS</t>
  </si>
  <si>
    <t>Cssf-1</t>
  </si>
  <si>
    <t>Shift</t>
  </si>
  <si>
    <t>PSY/COORD/COUN (NEW)</t>
  </si>
  <si>
    <t>PSYCHOLOGIST (OLD)</t>
  </si>
  <si>
    <t>COORD/COUNS (OLD)</t>
  </si>
  <si>
    <t>PSYCHOLOGIST/COORDINATOR/COUNSELOR SALARY SCHEDULE- 226 DAYS (NEW)</t>
  </si>
  <si>
    <t>COORDINATOR/COUNSELOR SALARY SCHEDULE- 226 DAYS (OLD SCALE)</t>
  </si>
  <si>
    <t xml:space="preserve">PSYCHOLOGIST-226 DAYS (OLD SCALE)                                                            </t>
  </si>
  <si>
    <t>1-H   HS Cheerleader</t>
  </si>
  <si>
    <t>FY'23</t>
  </si>
  <si>
    <t>10-A HS Football</t>
  </si>
  <si>
    <t>1-A   HS Volleyball</t>
  </si>
  <si>
    <t>2-H   MS Track</t>
  </si>
  <si>
    <t>4-A   MS Football</t>
  </si>
  <si>
    <t>2       MS Cheerleader</t>
  </si>
  <si>
    <t>2       9G Cheerleader</t>
  </si>
  <si>
    <t>2-A   HS Cr. Country</t>
  </si>
  <si>
    <t>1-A   HS Swimming</t>
  </si>
  <si>
    <t>1       9G Softball</t>
  </si>
  <si>
    <t>Effective FY'23</t>
  </si>
  <si>
    <t>Nurses</t>
  </si>
  <si>
    <t>Homebound</t>
  </si>
  <si>
    <t>Regular Teaching Assistant Substitutes</t>
  </si>
  <si>
    <t>Special Education Teacher Assistant Substitutes</t>
  </si>
  <si>
    <t>Retired ORS Certified</t>
  </si>
  <si>
    <t>Certified</t>
  </si>
  <si>
    <t>Associate Degree</t>
  </si>
  <si>
    <t>DISTRICT SUPPORT STAFF SALARY - 261 DAYS                                                                                FY23</t>
  </si>
  <si>
    <t>LANE</t>
  </si>
  <si>
    <t>STEP 0</t>
  </si>
  <si>
    <t>STEP 1</t>
  </si>
  <si>
    <t>STEP 2</t>
  </si>
  <si>
    <t>STEP 3</t>
  </si>
  <si>
    <t>STEP 4</t>
  </si>
  <si>
    <t>STEP 5</t>
  </si>
  <si>
    <t>STEP 6</t>
  </si>
  <si>
    <t>STEP 7</t>
  </si>
  <si>
    <t>STEP 8</t>
  </si>
  <si>
    <t>STEP 9</t>
  </si>
  <si>
    <t>STEP 10</t>
  </si>
  <si>
    <t>STEP 11</t>
  </si>
  <si>
    <t>STEP 12</t>
  </si>
  <si>
    <t>STEP 13</t>
  </si>
  <si>
    <t>STEP 14</t>
  </si>
  <si>
    <t>STEP 15</t>
  </si>
  <si>
    <t>STEP 16</t>
  </si>
  <si>
    <t>STEP 17</t>
  </si>
  <si>
    <t>STEP 18</t>
  </si>
  <si>
    <t>STEP 19</t>
  </si>
  <si>
    <t>STEP 20</t>
  </si>
  <si>
    <t>Salary schedule includes Finance, Human Resources, Office Support, Technology, Teacher Assistants, Nurses, Maintenance &amp; Other Support Staff</t>
  </si>
  <si>
    <t>Salary schedule includes Directors, Executive Directors, Supervisors, Finance, Human Resources, Technology,  &amp; Nurses</t>
  </si>
  <si>
    <t>POSITION/ASSIGNMENT</t>
  </si>
  <si>
    <t>DAYS</t>
  </si>
  <si>
    <t>HOURS PER DAY</t>
  </si>
  <si>
    <t xml:space="preserve">PreK TA I </t>
  </si>
  <si>
    <t>Teacher Assistant</t>
  </si>
  <si>
    <t>ECC Site Director</t>
  </si>
  <si>
    <t>Sped TA, SCA TA, PreK TA II</t>
  </si>
  <si>
    <t>FRC Assistant</t>
  </si>
  <si>
    <t>Maintenance Generalist I</t>
  </si>
  <si>
    <t>Paraprofessional</t>
  </si>
  <si>
    <t>ECC Director</t>
  </si>
  <si>
    <t>Admin Asst I,  Asst. Bookkeeper (High)</t>
  </si>
  <si>
    <t>Maintenance Generalist II, Admin Asst II</t>
  </si>
  <si>
    <t>Preschool Bookkeeper/Clerk</t>
  </si>
  <si>
    <t>Family Services Advocate</t>
  </si>
  <si>
    <t>Receiving/Inventory Clerk, Elementary Bookkeeper</t>
  </si>
  <si>
    <t>Inventory Technician, Secondary Bookkeeper, Admin Asst III</t>
  </si>
  <si>
    <t>Admin Asst IV</t>
  </si>
  <si>
    <t>Business Services Specialist</t>
  </si>
  <si>
    <t>Manager of Tech Ops</t>
  </si>
  <si>
    <t>Admin Asst V (Exec), Tier 1 Technician</t>
  </si>
  <si>
    <t>Family Impact Coordinator</t>
  </si>
  <si>
    <t>Sports Medicine Coordinator</t>
  </si>
  <si>
    <t>Maintenance Generalist III, Admin Asst VI (Sr. Exec)</t>
  </si>
  <si>
    <t>Family Services Coordinator</t>
  </si>
  <si>
    <t>Social Worker</t>
  </si>
  <si>
    <t>Benefits Coordinator, HR Coordinator, Tier 2 Tech, Repair Tech</t>
  </si>
  <si>
    <t>AP Specialist, Purchasing Specialist, Data Analysis &amp; Reporting Specialist, Carpenter, Low Voltage Tech, Plumber, Electrician I</t>
  </si>
  <si>
    <t>HVAC Tech I</t>
  </si>
  <si>
    <t>HVAC Tech II, Electrician II, Payroll Specialist, Grant Accountant</t>
  </si>
  <si>
    <t>Maintenance Tech Foreman, Building and Grounds Foreman</t>
  </si>
  <si>
    <t>Nurse</t>
  </si>
  <si>
    <t>COTA, PTA</t>
  </si>
  <si>
    <t>Asst Supervisor-Operations, Data Technician</t>
  </si>
  <si>
    <t>District Accountant</t>
  </si>
  <si>
    <t>Occupational Therapist</t>
  </si>
  <si>
    <t>Director of Maintenance and Operations, Applications Administrator, Network Systems Administrator</t>
  </si>
  <si>
    <t>Family Education Coordinator</t>
  </si>
  <si>
    <t>Family &amp; Student Services Facilitator</t>
  </si>
  <si>
    <t>FRC Director</t>
  </si>
  <si>
    <t>Nurse Coordinator</t>
  </si>
  <si>
    <t>Business Services Coordinator, Systems Engineer, Network Engineer, IT Supervisor</t>
  </si>
  <si>
    <t>IT Director, Finance Director, Pupil Services Director</t>
  </si>
  <si>
    <t>Ex Director of HR, Executive Director of Teaching &amp; Learning</t>
  </si>
  <si>
    <t>Executive Director of School Leadership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</si>
</sst>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164" formatCode="0.0%"/>
    <numFmt numFmtId="165" formatCode="0.0"/>
    <numFmt numFmtId="166" formatCode="0E+00"/>
    <numFmt numFmtId="167" formatCode="0.000%"/>
    <numFmt numFmtId="168" formatCode="&quot;$&quot;#,##0.00"/>
    <numFmt numFmtId="169" formatCode="&quot;$&quot;###,###,##0.00"/>
    <numFmt numFmtId="170" formatCode="&quot;$&quot;###,###,##0.0000"/>
    <numFmt numFmtId="171" formatCode="&quot;$&quot;#,##0"/>
    <numFmt numFmtId="172" formatCode="&quot;$&quot;###,###,##0"/>
    <numFmt numFmtId="173" formatCode="###,###,##0.00"/>
    <numFmt numFmtId="174" formatCode="_(* #,##0.0_);_(* \(#,##0.0\);_(* &quot;-&quot;?_);_(@_)"/>
  </numFmts>
  <fonts count="24" x14ac:knownFonts="1">
    <font>
      <sz val="10"/>
      <name val="Arial"/>
    </font>
    <font>
      <b/>
      <sz val="18"/>
      <name val="Arial"/>
      <family val="2"/>
    </font>
    <font>
      <b/>
      <sz val="12"/>
      <name val="Arial"/>
      <family val="2"/>
    </font>
    <font>
      <b/>
      <sz val="10"/>
      <name val="Arial"/>
      <family val="2"/>
    </font>
    <font>
      <b/>
      <sz val="8"/>
      <name val="Arial"/>
      <family val="2"/>
    </font>
    <font>
      <sz val="8"/>
      <name val="Arial"/>
      <family val="2"/>
    </font>
    <font>
      <sz val="12"/>
      <name val="Arial"/>
      <family val="2"/>
    </font>
    <font>
      <b/>
      <i/>
      <sz val="12"/>
      <name val="Arial"/>
      <family val="2"/>
    </font>
    <font>
      <b/>
      <i/>
      <sz val="10"/>
      <name val="Arial"/>
      <family val="2"/>
    </font>
    <font>
      <sz val="10"/>
      <name val="Arial"/>
      <family val="2"/>
    </font>
    <font>
      <sz val="11"/>
      <color rgb="FF000000"/>
      <name val="Calibri"/>
      <family val="2"/>
    </font>
    <font>
      <sz val="10"/>
      <color rgb="FF000000"/>
      <name val="Arial"/>
      <family val="2"/>
    </font>
    <font>
      <b/>
      <sz val="11"/>
      <color rgb="FF000000"/>
      <name val="Calibri"/>
      <family val="2"/>
    </font>
    <font>
      <b/>
      <i/>
      <sz val="12"/>
      <name val="Calibri"/>
      <family val="2"/>
      <scheme val="minor"/>
    </font>
    <font>
      <sz val="12"/>
      <name val="Calibri"/>
      <family val="2"/>
      <scheme val="minor"/>
    </font>
    <font>
      <b/>
      <i/>
      <sz val="20"/>
      <name val="Arial"/>
      <family val="2"/>
    </font>
    <font>
      <b/>
      <sz val="11"/>
      <color theme="0"/>
      <name val="Calibri"/>
      <family val="2"/>
      <scheme val="minor"/>
    </font>
    <font>
      <sz val="9"/>
      <name val="Arial"/>
      <family val="2"/>
    </font>
    <font>
      <sz val="11"/>
      <name val="Calibri"/>
      <family val="2"/>
    </font>
    <font>
      <b/>
      <sz val="10"/>
      <color theme="1"/>
      <name val="Arial"/>
      <family val="2"/>
    </font>
    <font>
      <b/>
      <sz val="11"/>
      <color theme="1"/>
      <name val="Calibri"/>
      <family val="2"/>
      <scheme val="minor"/>
    </font>
    <font>
      <b/>
      <sz val="11"/>
      <name val="Calibri"/>
      <family val="2"/>
      <scheme val="minor"/>
    </font>
    <font>
      <sz val="10"/>
      <color theme="3" tint="0.59999389629810485"/>
      <name val="Arial"/>
      <family val="2"/>
    </font>
    <font>
      <b/>
      <sz val="10"/>
      <color theme="3" tint="0.59999389629810485"/>
      <name val="Arial"/>
      <family val="2"/>
    </font>
  </fonts>
  <fills count="17">
    <fill>
      <patternFill patternType="none"/>
    </fill>
    <fill>
      <patternFill patternType="gray125"/>
    </fill>
    <fill>
      <patternFill patternType="solid">
        <fgColor indexed="9"/>
        <bgColor indexed="9"/>
      </patternFill>
    </fill>
    <fill>
      <patternFill patternType="solid">
        <fgColor theme="3" tint="0.79998168889431442"/>
        <bgColor indexed="9"/>
      </patternFill>
    </fill>
    <fill>
      <patternFill patternType="solid">
        <fgColor theme="3" tint="0.79998168889431442"/>
        <bgColor indexed="22"/>
      </patternFill>
    </fill>
    <fill>
      <patternFill patternType="solid">
        <fgColor theme="3" tint="0.79998168889431442"/>
        <bgColor indexed="64"/>
      </patternFill>
    </fill>
    <fill>
      <patternFill patternType="solid">
        <fgColor theme="0" tint="-4.9989318521683403E-2"/>
        <bgColor indexed="9"/>
      </patternFill>
    </fill>
    <fill>
      <patternFill patternType="solid">
        <fgColor rgb="FFFFFF00"/>
        <bgColor indexed="9"/>
      </patternFill>
    </fill>
    <fill>
      <patternFill patternType="solid">
        <fgColor theme="7" tint="0.59999389629810485"/>
        <bgColor indexed="9"/>
      </patternFill>
    </fill>
    <fill>
      <patternFill patternType="solid">
        <fgColor theme="4" tint="0.79998168889431442"/>
        <bgColor indexed="9"/>
      </patternFill>
    </fill>
    <fill>
      <patternFill patternType="solid">
        <fgColor rgb="FFFFFF00"/>
        <bgColor indexed="64"/>
      </patternFill>
    </fill>
    <fill>
      <patternFill patternType="solid">
        <fgColor theme="4" tint="0.59999389629810485"/>
        <bgColor indexed="9"/>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59999389629810485"/>
        <bgColor theme="6"/>
      </patternFill>
    </fill>
    <fill>
      <patternFill patternType="solid">
        <fgColor theme="4" tint="0.59999389629810485"/>
        <bgColor theme="6" tint="0.79998168889431442"/>
      </patternFill>
    </fill>
  </fills>
  <borders count="86">
    <border>
      <left/>
      <right/>
      <top/>
      <bottom/>
      <diagonal/>
    </border>
    <border>
      <left/>
      <right/>
      <top style="double">
        <color indexed="0"/>
      </top>
      <bottom/>
      <diagonal/>
    </border>
    <border>
      <left style="double">
        <color indexed="0"/>
      </left>
      <right/>
      <top style="double">
        <color indexed="0"/>
      </top>
      <bottom style="double">
        <color indexed="0"/>
      </bottom>
      <diagonal/>
    </border>
    <border>
      <left/>
      <right/>
      <top style="double">
        <color indexed="0"/>
      </top>
      <bottom style="double">
        <color indexed="0"/>
      </bottom>
      <diagonal/>
    </border>
    <border>
      <left/>
      <right style="double">
        <color indexed="0"/>
      </right>
      <top style="double">
        <color indexed="0"/>
      </top>
      <bottom style="double">
        <color indexed="0"/>
      </bottom>
      <diagonal/>
    </border>
    <border>
      <left style="double">
        <color indexed="0"/>
      </left>
      <right/>
      <top style="double">
        <color indexed="0"/>
      </top>
      <bottom/>
      <diagonal/>
    </border>
    <border>
      <left style="double">
        <color indexed="0"/>
      </left>
      <right/>
      <top/>
      <bottom/>
      <diagonal/>
    </border>
    <border>
      <left style="thin">
        <color indexed="0"/>
      </left>
      <right/>
      <top/>
      <bottom/>
      <diagonal/>
    </border>
    <border>
      <left/>
      <right style="thin">
        <color indexed="0"/>
      </right>
      <top/>
      <bottom/>
      <diagonal/>
    </border>
    <border>
      <left/>
      <right style="thin">
        <color indexed="0"/>
      </right>
      <top style="double">
        <color indexed="0"/>
      </top>
      <bottom/>
      <diagonal/>
    </border>
    <border>
      <left style="thin">
        <color indexed="0"/>
      </left>
      <right style="thin">
        <color indexed="0"/>
      </right>
      <top style="double">
        <color indexed="0"/>
      </top>
      <bottom/>
      <diagonal/>
    </border>
    <border>
      <left style="medium">
        <color indexed="0"/>
      </left>
      <right style="medium">
        <color indexed="0"/>
      </right>
      <top/>
      <bottom/>
      <diagonal/>
    </border>
    <border>
      <left style="thin">
        <color indexed="0"/>
      </left>
      <right style="thin">
        <color indexed="0"/>
      </right>
      <top/>
      <bottom/>
      <diagonal/>
    </border>
    <border>
      <left style="thin">
        <color indexed="0"/>
      </left>
      <right style="double">
        <color indexed="0"/>
      </right>
      <top style="double">
        <color indexed="0"/>
      </top>
      <bottom/>
      <diagonal/>
    </border>
    <border>
      <left style="thin">
        <color indexed="0"/>
      </left>
      <right style="double">
        <color indexed="0"/>
      </right>
      <top/>
      <bottom/>
      <diagonal/>
    </border>
    <border>
      <left/>
      <right/>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0"/>
      </right>
      <top style="medium">
        <color indexed="64"/>
      </top>
      <bottom style="medium">
        <color indexed="0"/>
      </bottom>
      <diagonal/>
    </border>
    <border>
      <left style="medium">
        <color indexed="0"/>
      </left>
      <right style="medium">
        <color indexed="0"/>
      </right>
      <top style="medium">
        <color indexed="64"/>
      </top>
      <bottom style="medium">
        <color indexed="0"/>
      </bottom>
      <diagonal/>
    </border>
    <border>
      <left style="medium">
        <color indexed="0"/>
      </left>
      <right style="medium">
        <color indexed="64"/>
      </right>
      <top style="medium">
        <color indexed="64"/>
      </top>
      <bottom style="medium">
        <color indexed="0"/>
      </bottom>
      <diagonal/>
    </border>
    <border>
      <left style="medium">
        <color indexed="64"/>
      </left>
      <right style="medium">
        <color indexed="0"/>
      </right>
      <top/>
      <bottom/>
      <diagonal/>
    </border>
    <border>
      <left style="medium">
        <color indexed="0"/>
      </left>
      <right style="medium">
        <color indexed="64"/>
      </right>
      <top/>
      <bottom/>
      <diagonal/>
    </border>
    <border>
      <left style="medium">
        <color indexed="0"/>
      </left>
      <right style="medium">
        <color indexed="0"/>
      </right>
      <top/>
      <bottom style="medium">
        <color indexed="64"/>
      </bottom>
      <diagonal/>
    </border>
    <border>
      <left style="medium">
        <color indexed="0"/>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0"/>
      </right>
      <top/>
      <bottom style="medium">
        <color indexed="64"/>
      </bottom>
      <diagonal/>
    </border>
    <border>
      <left style="thin">
        <color indexed="0"/>
      </left>
      <right style="thin">
        <color indexed="0"/>
      </right>
      <top style="medium">
        <color indexed="64"/>
      </top>
      <bottom style="medium">
        <color indexed="64"/>
      </bottom>
      <diagonal/>
    </border>
    <border>
      <left style="thin">
        <color indexed="0"/>
      </left>
      <right style="medium">
        <color indexed="64"/>
      </right>
      <top style="medium">
        <color indexed="64"/>
      </top>
      <bottom style="medium">
        <color indexed="64"/>
      </bottom>
      <diagonal/>
    </border>
    <border>
      <left style="thin">
        <color indexed="0"/>
      </left>
      <right style="medium">
        <color indexed="64"/>
      </right>
      <top/>
      <bottom/>
      <diagonal/>
    </border>
    <border>
      <left style="thin">
        <color indexed="0"/>
      </left>
      <right/>
      <top style="medium">
        <color indexed="64"/>
      </top>
      <bottom/>
      <diagonal/>
    </border>
    <border>
      <left style="thin">
        <color indexed="0"/>
      </left>
      <right style="medium">
        <color indexed="64"/>
      </right>
      <top style="medium">
        <color indexed="64"/>
      </top>
      <bottom/>
      <diagonal/>
    </border>
    <border>
      <left style="thin">
        <color indexed="0"/>
      </left>
      <right/>
      <top/>
      <bottom style="medium">
        <color indexed="64"/>
      </bottom>
      <diagonal/>
    </border>
    <border>
      <left style="thin">
        <color indexed="0"/>
      </left>
      <right/>
      <top style="medium">
        <color indexed="64"/>
      </top>
      <bottom style="medium">
        <color indexed="64"/>
      </bottom>
      <diagonal/>
    </border>
    <border>
      <left style="thin">
        <color indexed="0"/>
      </left>
      <right style="medium">
        <color indexed="64"/>
      </right>
      <top/>
      <bottom style="medium">
        <color indexed="64"/>
      </bottom>
      <diagonal/>
    </border>
    <border>
      <left style="thin">
        <color indexed="0"/>
      </left>
      <right style="thin">
        <color indexed="0"/>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0"/>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0"/>
      </right>
      <top style="medium">
        <color indexed="64"/>
      </top>
      <bottom/>
      <diagonal/>
    </border>
    <border>
      <left style="medium">
        <color indexed="0"/>
      </left>
      <right style="medium">
        <color indexed="0"/>
      </right>
      <top style="medium">
        <color indexed="64"/>
      </top>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1">
    <xf numFmtId="0" fontId="0" fillId="0" borderId="0"/>
    <xf numFmtId="3" fontId="9" fillId="2" borderId="0"/>
    <xf numFmtId="7" fontId="9" fillId="2" borderId="0"/>
    <xf numFmtId="5" fontId="9" fillId="2" borderId="0"/>
    <xf numFmtId="0" fontId="9" fillId="2" borderId="0"/>
    <xf numFmtId="2" fontId="9" fillId="2" borderId="0"/>
    <xf numFmtId="0" fontId="1" fillId="2" borderId="0"/>
    <xf numFmtId="0" fontId="2" fillId="2" borderId="0"/>
    <xf numFmtId="0" fontId="9" fillId="2" borderId="1"/>
    <xf numFmtId="0" fontId="10" fillId="0" borderId="0" applyBorder="0"/>
    <xf numFmtId="0" fontId="9" fillId="0" borderId="0"/>
  </cellStyleXfs>
  <cellXfs count="569">
    <xf numFmtId="0" fontId="0" fillId="2" borderId="0" xfId="0" applyFill="1"/>
    <xf numFmtId="0" fontId="5" fillId="2" borderId="0" xfId="0" applyFont="1" applyFill="1"/>
    <xf numFmtId="0" fontId="3" fillId="2" borderId="0" xfId="0" applyFont="1" applyFill="1"/>
    <xf numFmtId="0" fontId="3" fillId="2" borderId="0" xfId="0" applyFont="1" applyFill="1" applyAlignment="1">
      <alignment horizontal="center"/>
    </xf>
    <xf numFmtId="0" fontId="0" fillId="2" borderId="0" xfId="0" applyFill="1" applyAlignment="1">
      <alignment horizontal="center"/>
    </xf>
    <xf numFmtId="2" fontId="0" fillId="2" borderId="0" xfId="0" applyNumberFormat="1" applyFill="1" applyAlignment="1">
      <alignment horizontal="center"/>
    </xf>
    <xf numFmtId="0" fontId="6" fillId="2" borderId="0" xfId="0" applyFont="1" applyFill="1"/>
    <xf numFmtId="0" fontId="3" fillId="2" borderId="5" xfId="0" applyFont="1" applyFill="1" applyBorder="1" applyAlignment="1">
      <alignment horizontal="center"/>
    </xf>
    <xf numFmtId="0" fontId="0" fillId="2" borderId="0" xfId="0" applyFill="1" applyBorder="1"/>
    <xf numFmtId="0" fontId="3" fillId="2" borderId="0" xfId="0" applyFont="1" applyFill="1" applyAlignment="1">
      <alignment horizontal="left"/>
    </xf>
    <xf numFmtId="0" fontId="3" fillId="0" borderId="0" xfId="0" applyFont="1" applyFill="1" applyBorder="1"/>
    <xf numFmtId="165" fontId="3" fillId="0" borderId="0" xfId="0" applyNumberFormat="1" applyFont="1" applyFill="1" applyBorder="1" applyAlignment="1">
      <alignment horizontal="center"/>
    </xf>
    <xf numFmtId="5" fontId="3" fillId="0" borderId="0" xfId="0" applyNumberFormat="1" applyFont="1" applyFill="1" applyBorder="1" applyAlignment="1">
      <alignment horizontal="center"/>
    </xf>
    <xf numFmtId="5" fontId="3" fillId="0" borderId="0" xfId="0" applyNumberFormat="1" applyFont="1" applyFill="1" applyBorder="1"/>
    <xf numFmtId="0" fontId="8" fillId="2" borderId="0" xfId="0" applyFont="1" applyFill="1" applyBorder="1" applyAlignment="1"/>
    <xf numFmtId="0" fontId="9" fillId="2" borderId="0" xfId="0" applyFont="1" applyFill="1"/>
    <xf numFmtId="5" fontId="9" fillId="2" borderId="0" xfId="0" applyNumberFormat="1" applyFont="1" applyFill="1"/>
    <xf numFmtId="0" fontId="2" fillId="3" borderId="2" xfId="0" applyFont="1" applyFill="1" applyBorder="1"/>
    <xf numFmtId="0" fontId="9" fillId="2" borderId="0" xfId="0" applyFont="1" applyFill="1" applyAlignment="1">
      <alignment horizontal="center"/>
    </xf>
    <xf numFmtId="0" fontId="9" fillId="0" borderId="0" xfId="0" applyFont="1" applyFill="1" applyBorder="1"/>
    <xf numFmtId="0" fontId="9" fillId="0" borderId="0" xfId="0" applyFont="1" applyFill="1" applyBorder="1" applyAlignment="1">
      <alignment horizontal="center"/>
    </xf>
    <xf numFmtId="0" fontId="3" fillId="0" borderId="0" xfId="0" applyFont="1" applyFill="1" applyBorder="1" applyAlignment="1">
      <alignment horizontal="center"/>
    </xf>
    <xf numFmtId="0" fontId="8" fillId="0" borderId="0" xfId="0" applyFont="1" applyFill="1" applyBorder="1" applyAlignment="1">
      <alignment horizontal="center"/>
    </xf>
    <xf numFmtId="165" fontId="9" fillId="0" borderId="0" xfId="0" applyNumberFormat="1" applyFont="1" applyFill="1" applyBorder="1" applyAlignment="1">
      <alignment horizontal="center"/>
    </xf>
    <xf numFmtId="165" fontId="9" fillId="0" borderId="0" xfId="0" applyNumberFormat="1" applyFont="1" applyFill="1" applyBorder="1"/>
    <xf numFmtId="2" fontId="9" fillId="0" borderId="0" xfId="0" applyNumberFormat="1" applyFont="1" applyFill="1" applyBorder="1" applyAlignment="1">
      <alignment horizontal="center"/>
    </xf>
    <xf numFmtId="5" fontId="9" fillId="0" borderId="0" xfId="0" applyNumberFormat="1" applyFont="1" applyFill="1" applyBorder="1" applyAlignment="1">
      <alignment horizontal="center"/>
    </xf>
    <xf numFmtId="5" fontId="9" fillId="0" borderId="0" xfId="0" applyNumberFormat="1" applyFont="1" applyFill="1" applyBorder="1"/>
    <xf numFmtId="0" fontId="3" fillId="0" borderId="0" xfId="0" applyFont="1" applyFill="1" applyBorder="1" applyAlignment="1">
      <alignment horizontal="right"/>
    </xf>
    <xf numFmtId="165" fontId="3" fillId="0" borderId="0" xfId="0" applyNumberFormat="1" applyFont="1" applyFill="1" applyBorder="1"/>
    <xf numFmtId="0" fontId="8" fillId="0" borderId="0" xfId="0" applyFont="1" applyFill="1" applyBorder="1"/>
    <xf numFmtId="0" fontId="9" fillId="2" borderId="0" xfId="0" applyFont="1" applyFill="1" applyBorder="1"/>
    <xf numFmtId="0" fontId="9" fillId="2" borderId="20" xfId="0" applyFont="1" applyFill="1" applyBorder="1"/>
    <xf numFmtId="0" fontId="9" fillId="2" borderId="18" xfId="0" applyFont="1" applyFill="1" applyBorder="1"/>
    <xf numFmtId="0" fontId="9" fillId="2" borderId="0" xfId="0" applyFont="1" applyFill="1" applyBorder="1" applyAlignment="1">
      <alignment horizontal="center"/>
    </xf>
    <xf numFmtId="0" fontId="9" fillId="2" borderId="22" xfId="0" applyFont="1" applyFill="1" applyBorder="1"/>
    <xf numFmtId="0" fontId="9" fillId="2" borderId="23" xfId="0" applyFont="1" applyFill="1" applyBorder="1"/>
    <xf numFmtId="10" fontId="9" fillId="2" borderId="0" xfId="0" applyNumberFormat="1" applyFont="1" applyFill="1" applyBorder="1" applyAlignment="1">
      <alignment horizontal="center"/>
    </xf>
    <xf numFmtId="5" fontId="9" fillId="2" borderId="0" xfId="0" applyNumberFormat="1" applyFont="1" applyFill="1" applyBorder="1"/>
    <xf numFmtId="7" fontId="9" fillId="2" borderId="0" xfId="0" applyNumberFormat="1" applyFont="1" applyFill="1"/>
    <xf numFmtId="0" fontId="9" fillId="2" borderId="0" xfId="0" applyFont="1" applyFill="1" applyAlignment="1"/>
    <xf numFmtId="0" fontId="9" fillId="2" borderId="33" xfId="0" applyFont="1" applyFill="1" applyBorder="1"/>
    <xf numFmtId="0" fontId="9" fillId="2" borderId="35" xfId="0" applyFont="1" applyFill="1" applyBorder="1" applyAlignment="1">
      <alignment horizontal="center"/>
    </xf>
    <xf numFmtId="0" fontId="9" fillId="2" borderId="26" xfId="0" applyFont="1" applyFill="1" applyBorder="1"/>
    <xf numFmtId="0" fontId="9" fillId="2" borderId="16" xfId="0" applyFont="1" applyFill="1" applyBorder="1" applyAlignment="1">
      <alignment horizontal="center"/>
    </xf>
    <xf numFmtId="0" fontId="9" fillId="2" borderId="15" xfId="0" applyFont="1" applyFill="1" applyBorder="1"/>
    <xf numFmtId="0" fontId="9" fillId="2" borderId="27" xfId="0" applyFont="1" applyFill="1" applyBorder="1"/>
    <xf numFmtId="2" fontId="9" fillId="7" borderId="0" xfId="0" applyNumberFormat="1" applyFont="1" applyFill="1" applyBorder="1" applyAlignment="1">
      <alignment horizontal="center"/>
    </xf>
    <xf numFmtId="2" fontId="9" fillId="7" borderId="15" xfId="0" applyNumberFormat="1" applyFont="1" applyFill="1" applyBorder="1" applyAlignment="1">
      <alignment horizontal="center"/>
    </xf>
    <xf numFmtId="168" fontId="9" fillId="2" borderId="26" xfId="0" applyNumberFormat="1" applyFont="1" applyFill="1" applyBorder="1"/>
    <xf numFmtId="168" fontId="9" fillId="2" borderId="26" xfId="0" applyNumberFormat="1" applyFont="1" applyFill="1" applyBorder="1" applyAlignment="1">
      <alignment horizontal="center"/>
    </xf>
    <xf numFmtId="168" fontId="9" fillId="2" borderId="27" xfId="0" applyNumberFormat="1" applyFont="1" applyFill="1" applyBorder="1" applyAlignment="1">
      <alignment horizontal="center"/>
    </xf>
    <xf numFmtId="0" fontId="9" fillId="2" borderId="25" xfId="0" applyFont="1" applyFill="1" applyBorder="1"/>
    <xf numFmtId="0" fontId="9" fillId="2" borderId="34" xfId="0" applyFont="1" applyFill="1" applyBorder="1"/>
    <xf numFmtId="0" fontId="9" fillId="2" borderId="16" xfId="0" applyFont="1" applyFill="1" applyBorder="1"/>
    <xf numFmtId="0" fontId="9" fillId="0" borderId="0" xfId="0" applyFont="1" applyFill="1"/>
    <xf numFmtId="0" fontId="9" fillId="0" borderId="25" xfId="0" applyFont="1" applyFill="1" applyBorder="1"/>
    <xf numFmtId="0" fontId="9" fillId="0" borderId="34" xfId="0" applyFont="1" applyFill="1" applyBorder="1"/>
    <xf numFmtId="0" fontId="9" fillId="2" borderId="35" xfId="0" applyFont="1" applyFill="1" applyBorder="1"/>
    <xf numFmtId="5" fontId="9" fillId="2" borderId="26" xfId="0" applyNumberFormat="1" applyFont="1" applyFill="1" applyBorder="1"/>
    <xf numFmtId="168" fontId="9" fillId="2" borderId="0" xfId="0" applyNumberFormat="1" applyFont="1" applyFill="1" applyBorder="1"/>
    <xf numFmtId="168" fontId="9" fillId="2" borderId="27" xfId="0" applyNumberFormat="1" applyFont="1" applyFill="1" applyBorder="1"/>
    <xf numFmtId="168" fontId="9" fillId="2" borderId="15" xfId="0" applyNumberFormat="1" applyFont="1" applyFill="1" applyBorder="1"/>
    <xf numFmtId="168" fontId="9" fillId="0" borderId="0" xfId="0" applyNumberFormat="1" applyFont="1" applyFill="1" applyBorder="1"/>
    <xf numFmtId="168" fontId="9" fillId="0" borderId="15" xfId="0" applyNumberFormat="1" applyFont="1" applyFill="1" applyBorder="1"/>
    <xf numFmtId="0" fontId="9" fillId="0" borderId="25" xfId="0" applyFont="1" applyFill="1" applyBorder="1" applyAlignment="1">
      <alignment horizontal="left"/>
    </xf>
    <xf numFmtId="0" fontId="9" fillId="2" borderId="37" xfId="0" applyFont="1" applyFill="1" applyBorder="1"/>
    <xf numFmtId="0" fontId="9" fillId="2" borderId="38" xfId="0" applyFont="1" applyFill="1" applyBorder="1"/>
    <xf numFmtId="7" fontId="9" fillId="2" borderId="26" xfId="0" applyNumberFormat="1" applyFont="1" applyFill="1" applyBorder="1"/>
    <xf numFmtId="168" fontId="9" fillId="10" borderId="35" xfId="0" applyNumberFormat="1" applyFont="1" applyFill="1" applyBorder="1"/>
    <xf numFmtId="168" fontId="9" fillId="10" borderId="0" xfId="0" applyNumberFormat="1" applyFont="1" applyFill="1" applyBorder="1"/>
    <xf numFmtId="168" fontId="9" fillId="10" borderId="16" xfId="0" applyNumberFormat="1" applyFont="1" applyFill="1" applyBorder="1"/>
    <xf numFmtId="168" fontId="9" fillId="10" borderId="15" xfId="0" applyNumberFormat="1" applyFont="1" applyFill="1" applyBorder="1"/>
    <xf numFmtId="7" fontId="9" fillId="0" borderId="0" xfId="0" applyNumberFormat="1" applyFont="1" applyFill="1" applyBorder="1"/>
    <xf numFmtId="5" fontId="9" fillId="7" borderId="0" xfId="0" applyNumberFormat="1" applyFont="1" applyFill="1" applyBorder="1"/>
    <xf numFmtId="0" fontId="9" fillId="0" borderId="35" xfId="0" applyNumberFormat="1" applyFont="1" applyFill="1" applyBorder="1" applyAlignment="1" applyProtection="1"/>
    <xf numFmtId="169" fontId="9" fillId="0" borderId="0" xfId="0" applyNumberFormat="1" applyFont="1" applyFill="1" applyBorder="1" applyAlignment="1" applyProtection="1"/>
    <xf numFmtId="169" fontId="9" fillId="0" borderId="26" xfId="0" applyNumberFormat="1" applyFont="1" applyFill="1" applyBorder="1" applyAlignment="1" applyProtection="1"/>
    <xf numFmtId="170" fontId="9" fillId="0" borderId="0" xfId="0" applyNumberFormat="1" applyFont="1" applyFill="1" applyBorder="1" applyAlignment="1" applyProtection="1"/>
    <xf numFmtId="170" fontId="9" fillId="0" borderId="26" xfId="0" applyNumberFormat="1" applyFont="1" applyFill="1" applyBorder="1" applyAlignment="1" applyProtection="1"/>
    <xf numFmtId="168" fontId="9" fillId="7" borderId="35" xfId="0" applyNumberFormat="1" applyFont="1" applyFill="1" applyBorder="1" applyAlignment="1">
      <alignment horizontal="center"/>
    </xf>
    <xf numFmtId="168" fontId="9" fillId="7" borderId="0" xfId="0" applyNumberFormat="1" applyFont="1" applyFill="1" applyBorder="1" applyAlignment="1">
      <alignment horizontal="center"/>
    </xf>
    <xf numFmtId="168" fontId="9" fillId="7" borderId="16" xfId="0" applyNumberFormat="1" applyFont="1" applyFill="1" applyBorder="1" applyAlignment="1">
      <alignment horizontal="center"/>
    </xf>
    <xf numFmtId="168" fontId="9" fillId="7" borderId="15" xfId="0" applyNumberFormat="1" applyFont="1" applyFill="1" applyBorder="1" applyAlignment="1">
      <alignment horizontal="center"/>
    </xf>
    <xf numFmtId="0" fontId="11" fillId="0" borderId="35" xfId="9" applyNumberFormat="1" applyFont="1" applyFill="1" applyBorder="1" applyAlignment="1" applyProtection="1"/>
    <xf numFmtId="169" fontId="11" fillId="0" borderId="0" xfId="9" applyNumberFormat="1" applyFont="1" applyFill="1" applyBorder="1" applyAlignment="1" applyProtection="1"/>
    <xf numFmtId="169" fontId="11" fillId="0" borderId="26" xfId="9" applyNumberFormat="1" applyFont="1" applyFill="1" applyBorder="1" applyAlignment="1" applyProtection="1"/>
    <xf numFmtId="0" fontId="11" fillId="0" borderId="16" xfId="9" applyNumberFormat="1" applyFont="1" applyFill="1" applyBorder="1" applyAlignment="1" applyProtection="1"/>
    <xf numFmtId="169" fontId="11" fillId="0" borderId="15" xfId="9" applyNumberFormat="1" applyFont="1" applyFill="1" applyBorder="1" applyAlignment="1" applyProtection="1"/>
    <xf numFmtId="0" fontId="11" fillId="0" borderId="0" xfId="9" applyNumberFormat="1" applyFont="1" applyFill="1" applyBorder="1" applyAlignment="1" applyProtection="1"/>
    <xf numFmtId="0" fontId="11" fillId="0" borderId="26" xfId="9" applyNumberFormat="1" applyFont="1" applyFill="1" applyBorder="1" applyAlignment="1" applyProtection="1"/>
    <xf numFmtId="0" fontId="11" fillId="0" borderId="15" xfId="9" applyNumberFormat="1" applyFont="1" applyFill="1" applyBorder="1" applyAlignment="1" applyProtection="1"/>
    <xf numFmtId="5" fontId="9" fillId="2" borderId="11" xfId="0" applyNumberFormat="1" applyFont="1" applyFill="1" applyBorder="1" applyAlignment="1">
      <alignment horizontal="center"/>
    </xf>
    <xf numFmtId="0" fontId="3" fillId="6" borderId="39" xfId="0" applyFont="1" applyFill="1" applyBorder="1" applyAlignment="1">
      <alignment horizontal="center"/>
    </xf>
    <xf numFmtId="5" fontId="9" fillId="2" borderId="43" xfId="0" applyNumberFormat="1" applyFont="1" applyFill="1" applyBorder="1" applyAlignment="1">
      <alignment horizontal="center"/>
    </xf>
    <xf numFmtId="5" fontId="9" fillId="2" borderId="44" xfId="0" applyNumberFormat="1" applyFont="1" applyFill="1" applyBorder="1" applyAlignment="1">
      <alignment horizontal="center"/>
    </xf>
    <xf numFmtId="5" fontId="9" fillId="2" borderId="45" xfId="0" applyNumberFormat="1" applyFont="1" applyFill="1" applyBorder="1" applyAlignment="1">
      <alignment horizontal="center"/>
    </xf>
    <xf numFmtId="0" fontId="2" fillId="3" borderId="29" xfId="0" applyFont="1" applyFill="1" applyBorder="1" applyAlignment="1">
      <alignment horizontal="right"/>
    </xf>
    <xf numFmtId="0" fontId="2" fillId="0" borderId="0" xfId="0" applyFont="1" applyFill="1" applyBorder="1" applyAlignment="1">
      <alignment horizontal="right"/>
    </xf>
    <xf numFmtId="0" fontId="9" fillId="0" borderId="47" xfId="0" applyNumberFormat="1" applyFont="1" applyFill="1" applyBorder="1" applyAlignment="1" applyProtection="1">
      <alignment horizontal="center"/>
    </xf>
    <xf numFmtId="0" fontId="9" fillId="0" borderId="17" xfId="0" applyNumberFormat="1" applyFont="1" applyFill="1" applyBorder="1" applyAlignment="1" applyProtection="1">
      <alignment horizontal="center"/>
    </xf>
    <xf numFmtId="0" fontId="3" fillId="6" borderId="19" xfId="0" applyFont="1" applyFill="1" applyBorder="1" applyAlignment="1">
      <alignment horizontal="center"/>
    </xf>
    <xf numFmtId="168" fontId="9" fillId="0" borderId="47" xfId="0" applyNumberFormat="1" applyFont="1" applyFill="1" applyBorder="1" applyAlignment="1" applyProtection="1">
      <alignment horizontal="center"/>
    </xf>
    <xf numFmtId="168" fontId="9" fillId="0" borderId="17" xfId="0" applyNumberFormat="1" applyFont="1" applyFill="1" applyBorder="1" applyAlignment="1" applyProtection="1">
      <alignment horizontal="center"/>
    </xf>
    <xf numFmtId="171" fontId="9" fillId="0" borderId="47" xfId="0" applyNumberFormat="1" applyFont="1" applyFill="1" applyBorder="1" applyAlignment="1" applyProtection="1">
      <alignment horizontal="center"/>
    </xf>
    <xf numFmtId="171" fontId="9" fillId="0" borderId="18" xfId="0" applyNumberFormat="1" applyFont="1" applyFill="1" applyBorder="1" applyAlignment="1" applyProtection="1">
      <alignment horizontal="center"/>
    </xf>
    <xf numFmtId="171" fontId="9" fillId="0" borderId="0" xfId="0" applyNumberFormat="1" applyFont="1" applyFill="1" applyBorder="1" applyAlignment="1" applyProtection="1">
      <alignment horizontal="center"/>
    </xf>
    <xf numFmtId="171" fontId="9" fillId="0" borderId="17" xfId="0" applyNumberFormat="1" applyFont="1" applyFill="1" applyBorder="1" applyAlignment="1" applyProtection="1">
      <alignment horizontal="center"/>
    </xf>
    <xf numFmtId="171" fontId="9" fillId="0" borderId="23" xfId="0" applyNumberFormat="1" applyFont="1" applyFill="1" applyBorder="1" applyAlignment="1" applyProtection="1">
      <alignment horizontal="center"/>
    </xf>
    <xf numFmtId="171" fontId="9" fillId="0" borderId="22" xfId="0" applyNumberFormat="1" applyFont="1" applyFill="1" applyBorder="1" applyAlignment="1" applyProtection="1">
      <alignment horizontal="center"/>
    </xf>
    <xf numFmtId="166" fontId="9" fillId="0" borderId="0" xfId="0" applyNumberFormat="1" applyFont="1" applyFill="1" applyBorder="1" applyAlignment="1">
      <alignment horizontal="center"/>
    </xf>
    <xf numFmtId="0" fontId="6" fillId="2" borderId="0" xfId="0" applyFont="1" applyFill="1" applyBorder="1"/>
    <xf numFmtId="5" fontId="9" fillId="2" borderId="0" xfId="0" applyNumberFormat="1" applyFont="1" applyFill="1" applyBorder="1" applyAlignment="1">
      <alignment horizontal="center"/>
    </xf>
    <xf numFmtId="0" fontId="7" fillId="3" borderId="30" xfId="0" applyFont="1" applyFill="1" applyBorder="1"/>
    <xf numFmtId="0" fontId="6" fillId="3" borderId="28" xfId="0" applyFont="1" applyFill="1" applyBorder="1"/>
    <xf numFmtId="0" fontId="7" fillId="3" borderId="28" xfId="0" applyFont="1" applyFill="1" applyBorder="1" applyAlignment="1">
      <alignment horizontal="center"/>
    </xf>
    <xf numFmtId="0" fontId="2" fillId="4" borderId="29" xfId="0" applyFont="1" applyFill="1" applyBorder="1" applyAlignment="1">
      <alignment horizontal="right"/>
    </xf>
    <xf numFmtId="0" fontId="9" fillId="2" borderId="47" xfId="0" applyFont="1" applyFill="1" applyBorder="1" applyAlignment="1">
      <alignment horizontal="center"/>
    </xf>
    <xf numFmtId="0" fontId="9" fillId="2" borderId="17" xfId="0" applyFont="1" applyFill="1" applyBorder="1" applyAlignment="1">
      <alignment horizontal="center"/>
    </xf>
    <xf numFmtId="5" fontId="9" fillId="2" borderId="47" xfId="0" applyNumberFormat="1" applyFont="1" applyFill="1" applyBorder="1" applyAlignment="1">
      <alignment horizontal="center"/>
    </xf>
    <xf numFmtId="5" fontId="9" fillId="2" borderId="17" xfId="0" applyNumberFormat="1" applyFont="1" applyFill="1" applyBorder="1" applyAlignment="1">
      <alignment horizontal="center"/>
    </xf>
    <xf numFmtId="0" fontId="9" fillId="2" borderId="0" xfId="0" applyFont="1" applyFill="1" applyBorder="1" applyAlignment="1"/>
    <xf numFmtId="2" fontId="9" fillId="2" borderId="0" xfId="0" applyNumberFormat="1" applyFont="1" applyFill="1" applyAlignment="1">
      <alignment horizontal="center"/>
    </xf>
    <xf numFmtId="0" fontId="3" fillId="6" borderId="28" xfId="0" applyFont="1" applyFill="1" applyBorder="1" applyAlignment="1">
      <alignment horizontal="center"/>
    </xf>
    <xf numFmtId="5" fontId="9" fillId="2" borderId="32" xfId="0" applyNumberFormat="1" applyFont="1" applyFill="1" applyBorder="1" applyAlignment="1">
      <alignment horizontal="center"/>
    </xf>
    <xf numFmtId="5" fontId="9" fillId="2" borderId="18" xfId="0" applyNumberFormat="1" applyFont="1" applyFill="1" applyBorder="1" applyAlignment="1">
      <alignment horizontal="center"/>
    </xf>
    <xf numFmtId="5" fontId="9" fillId="2" borderId="22" xfId="0" applyNumberFormat="1" applyFont="1" applyFill="1" applyBorder="1" applyAlignment="1">
      <alignment horizontal="center"/>
    </xf>
    <xf numFmtId="5" fontId="9" fillId="2" borderId="23" xfId="0" applyNumberFormat="1" applyFont="1" applyFill="1" applyBorder="1" applyAlignment="1">
      <alignment horizontal="center"/>
    </xf>
    <xf numFmtId="2" fontId="9" fillId="2" borderId="0" xfId="0" applyNumberFormat="1" applyFont="1" applyFill="1" applyBorder="1" applyAlignment="1">
      <alignment horizontal="center"/>
    </xf>
    <xf numFmtId="5" fontId="9" fillId="2" borderId="0" xfId="0" applyNumberFormat="1" applyFont="1" applyFill="1" applyAlignment="1">
      <alignment horizontal="left"/>
    </xf>
    <xf numFmtId="5" fontId="0" fillId="2" borderId="32" xfId="0" applyNumberFormat="1" applyFill="1" applyBorder="1" applyAlignment="1">
      <alignment horizontal="center"/>
    </xf>
    <xf numFmtId="0" fontId="9" fillId="2" borderId="0" xfId="0" applyFont="1" applyFill="1" applyAlignment="1">
      <alignment horizontal="left"/>
    </xf>
    <xf numFmtId="0" fontId="6" fillId="2" borderId="0" xfId="0" applyFont="1" applyFill="1" applyAlignment="1">
      <alignment horizontal="left"/>
    </xf>
    <xf numFmtId="0" fontId="2" fillId="3" borderId="30" xfId="0" applyFont="1" applyFill="1" applyBorder="1" applyAlignment="1">
      <alignment horizontal="left"/>
    </xf>
    <xf numFmtId="0" fontId="2" fillId="3" borderId="28" xfId="0" applyFont="1" applyFill="1" applyBorder="1" applyAlignment="1">
      <alignment horizontal="left"/>
    </xf>
    <xf numFmtId="9" fontId="2" fillId="3" borderId="29" xfId="0" applyNumberFormat="1" applyFont="1" applyFill="1" applyBorder="1" applyAlignment="1">
      <alignment horizontal="right"/>
    </xf>
    <xf numFmtId="0" fontId="9" fillId="2" borderId="46" xfId="0" applyFont="1" applyFill="1" applyBorder="1" applyAlignment="1">
      <alignment horizontal="left"/>
    </xf>
    <xf numFmtId="0" fontId="9" fillId="2" borderId="47" xfId="0" applyFont="1" applyFill="1" applyBorder="1" applyAlignment="1">
      <alignment horizontal="left"/>
    </xf>
    <xf numFmtId="0" fontId="9" fillId="2" borderId="17" xfId="0" applyFont="1" applyFill="1" applyBorder="1" applyAlignment="1">
      <alignment horizontal="left"/>
    </xf>
    <xf numFmtId="0" fontId="3" fillId="6" borderId="29" xfId="0" applyFont="1" applyFill="1" applyBorder="1" applyAlignment="1">
      <alignment horizontal="center"/>
    </xf>
    <xf numFmtId="5" fontId="9" fillId="2" borderId="46" xfId="0" applyNumberFormat="1" applyFont="1" applyFill="1" applyBorder="1" applyAlignment="1">
      <alignment horizontal="center"/>
    </xf>
    <xf numFmtId="0" fontId="9" fillId="0" borderId="0" xfId="0" applyFont="1" applyFill="1" applyBorder="1" applyAlignment="1">
      <alignment horizontal="right"/>
    </xf>
    <xf numFmtId="0" fontId="9" fillId="0" borderId="0" xfId="0" applyFont="1" applyFill="1" applyBorder="1" applyAlignment="1">
      <alignment horizontal="left"/>
    </xf>
    <xf numFmtId="0" fontId="3" fillId="2" borderId="9" xfId="0" applyFont="1" applyFill="1" applyBorder="1" applyAlignment="1">
      <alignment horizontal="center"/>
    </xf>
    <xf numFmtId="0" fontId="9" fillId="2" borderId="10" xfId="0" applyFont="1" applyFill="1" applyBorder="1" applyAlignment="1">
      <alignment horizontal="center"/>
    </xf>
    <xf numFmtId="0" fontId="9" fillId="2" borderId="1" xfId="0" applyFont="1" applyFill="1" applyBorder="1" applyAlignment="1">
      <alignment horizontal="center"/>
    </xf>
    <xf numFmtId="0" fontId="9" fillId="2" borderId="13" xfId="0" applyFont="1" applyFill="1" applyBorder="1" applyAlignment="1">
      <alignment horizontal="center"/>
    </xf>
    <xf numFmtId="164" fontId="3" fillId="2" borderId="8" xfId="0" applyNumberFormat="1" applyFont="1" applyFill="1" applyBorder="1" applyAlignment="1">
      <alignment horizontal="center"/>
    </xf>
    <xf numFmtId="164" fontId="9" fillId="2" borderId="12" xfId="0" applyNumberFormat="1" applyFont="1" applyFill="1" applyBorder="1" applyAlignment="1">
      <alignment horizontal="center"/>
    </xf>
    <xf numFmtId="164" fontId="9" fillId="2" borderId="0" xfId="0" applyNumberFormat="1" applyFont="1" applyFill="1" applyAlignment="1">
      <alignment horizontal="center"/>
    </xf>
    <xf numFmtId="164" fontId="9" fillId="2" borderId="14" xfId="0" applyNumberFormat="1" applyFont="1" applyFill="1" applyBorder="1" applyAlignment="1">
      <alignment horizontal="center"/>
    </xf>
    <xf numFmtId="164" fontId="3" fillId="0" borderId="0" xfId="0" applyNumberFormat="1" applyFont="1" applyFill="1" applyBorder="1" applyAlignment="1">
      <alignment horizontal="center"/>
    </xf>
    <xf numFmtId="164" fontId="9" fillId="0" borderId="0" xfId="0" applyNumberFormat="1" applyFont="1" applyFill="1" applyBorder="1" applyAlignment="1">
      <alignment horizontal="center"/>
    </xf>
    <xf numFmtId="2" fontId="9" fillId="0" borderId="0" xfId="0" applyNumberFormat="1" applyFont="1" applyFill="1" applyBorder="1"/>
    <xf numFmtId="0" fontId="3" fillId="2" borderId="6" xfId="0" applyFont="1" applyFill="1" applyBorder="1" applyAlignment="1">
      <alignment horizontal="center" wrapText="1"/>
    </xf>
    <xf numFmtId="0" fontId="9" fillId="2" borderId="21" xfId="0" applyFont="1" applyFill="1" applyBorder="1"/>
    <xf numFmtId="0" fontId="9" fillId="2" borderId="47" xfId="0" applyNumberFormat="1" applyFont="1" applyFill="1" applyBorder="1" applyAlignment="1">
      <alignment horizontal="center"/>
    </xf>
    <xf numFmtId="0" fontId="9" fillId="2" borderId="47" xfId="0" applyFont="1" applyFill="1" applyBorder="1"/>
    <xf numFmtId="0" fontId="9" fillId="2" borderId="17" xfId="0" applyFont="1" applyFill="1" applyBorder="1"/>
    <xf numFmtId="0" fontId="6" fillId="3" borderId="3" xfId="0" applyFont="1" applyFill="1" applyBorder="1"/>
    <xf numFmtId="0" fontId="6" fillId="0" borderId="0" xfId="0" applyFont="1" applyFill="1"/>
    <xf numFmtId="0" fontId="2" fillId="0" borderId="1" xfId="0" applyFont="1" applyFill="1" applyBorder="1"/>
    <xf numFmtId="0" fontId="6" fillId="0" borderId="1" xfId="0" applyFont="1" applyFill="1" applyBorder="1"/>
    <xf numFmtId="7" fontId="9" fillId="2" borderId="46" xfId="0" applyNumberFormat="1" applyFont="1" applyFill="1" applyBorder="1" applyAlignment="1">
      <alignment horizontal="center"/>
    </xf>
    <xf numFmtId="7" fontId="9" fillId="2" borderId="47" xfId="0" applyNumberFormat="1" applyFont="1" applyFill="1" applyBorder="1" applyAlignment="1">
      <alignment horizontal="center"/>
    </xf>
    <xf numFmtId="7" fontId="9" fillId="2" borderId="17" xfId="0" applyNumberFormat="1" applyFont="1" applyFill="1" applyBorder="1" applyAlignment="1">
      <alignment horizontal="center"/>
    </xf>
    <xf numFmtId="0" fontId="3" fillId="6" borderId="30" xfId="0" applyFont="1" applyFill="1" applyBorder="1"/>
    <xf numFmtId="0" fontId="3" fillId="6" borderId="19" xfId="0" applyFont="1" applyFill="1" applyBorder="1"/>
    <xf numFmtId="0" fontId="7" fillId="3" borderId="30" xfId="0" applyFont="1" applyFill="1" applyBorder="1" applyAlignment="1">
      <alignment horizontal="left"/>
    </xf>
    <xf numFmtId="0" fontId="7" fillId="3" borderId="28" xfId="0" applyFont="1" applyFill="1" applyBorder="1" applyAlignment="1">
      <alignment horizontal="left"/>
    </xf>
    <xf numFmtId="0" fontId="11" fillId="0" borderId="47" xfId="9" applyNumberFormat="1" applyFont="1" applyFill="1" applyBorder="1" applyAlignment="1" applyProtection="1">
      <alignment horizontal="center"/>
    </xf>
    <xf numFmtId="0" fontId="11" fillId="0" borderId="17" xfId="9" applyNumberFormat="1" applyFont="1" applyFill="1" applyBorder="1" applyAlignment="1" applyProtection="1">
      <alignment horizontal="center"/>
    </xf>
    <xf numFmtId="171" fontId="11" fillId="0" borderId="47" xfId="9" applyNumberFormat="1" applyFont="1" applyFill="1" applyBorder="1" applyAlignment="1" applyProtection="1">
      <alignment horizontal="center"/>
    </xf>
    <xf numFmtId="171" fontId="11" fillId="0" borderId="17" xfId="9" applyNumberFormat="1" applyFont="1" applyFill="1" applyBorder="1" applyAlignment="1" applyProtection="1">
      <alignment horizontal="center"/>
    </xf>
    <xf numFmtId="0" fontId="0" fillId="2" borderId="31" xfId="0" applyFill="1" applyBorder="1"/>
    <xf numFmtId="0" fontId="0" fillId="2" borderId="21" xfId="0" applyFill="1" applyBorder="1"/>
    <xf numFmtId="0" fontId="9" fillId="2" borderId="21" xfId="0" applyFont="1" applyFill="1" applyBorder="1" applyAlignment="1">
      <alignment horizontal="center"/>
    </xf>
    <xf numFmtId="0" fontId="3" fillId="6" borderId="55" xfId="0" applyFont="1" applyFill="1" applyBorder="1" applyAlignment="1">
      <alignment horizontal="center"/>
    </xf>
    <xf numFmtId="0" fontId="3" fillId="6" borderId="50" xfId="0" applyFont="1" applyFill="1" applyBorder="1" applyAlignment="1">
      <alignment horizontal="center"/>
    </xf>
    <xf numFmtId="0" fontId="9" fillId="2" borderId="0" xfId="0" applyFont="1" applyFill="1" applyProtection="1">
      <protection locked="0"/>
    </xf>
    <xf numFmtId="5" fontId="9" fillId="2" borderId="7" xfId="0" applyNumberFormat="1" applyFont="1" applyFill="1" applyBorder="1" applyAlignment="1">
      <alignment horizontal="center"/>
    </xf>
    <xf numFmtId="7" fontId="9" fillId="2" borderId="7" xfId="0" applyNumberFormat="1" applyFont="1" applyFill="1" applyBorder="1" applyAlignment="1">
      <alignment horizontal="center"/>
    </xf>
    <xf numFmtId="0" fontId="9" fillId="2" borderId="52" xfId="0" applyFont="1" applyFill="1" applyBorder="1" applyAlignment="1">
      <alignment horizontal="center"/>
    </xf>
    <xf numFmtId="0" fontId="9" fillId="2" borderId="53" xfId="0" applyFont="1" applyFill="1" applyBorder="1" applyAlignment="1">
      <alignment horizontal="center"/>
    </xf>
    <xf numFmtId="5" fontId="9" fillId="2" borderId="51" xfId="0" applyNumberFormat="1" applyFont="1" applyFill="1" applyBorder="1" applyAlignment="1">
      <alignment horizontal="center"/>
    </xf>
    <xf numFmtId="7" fontId="9" fillId="2" borderId="51" xfId="0" applyNumberFormat="1" applyFont="1" applyFill="1" applyBorder="1" applyAlignment="1">
      <alignment horizontal="center"/>
    </xf>
    <xf numFmtId="7" fontId="9" fillId="2" borderId="54" xfId="0" applyNumberFormat="1" applyFont="1" applyFill="1" applyBorder="1" applyAlignment="1">
      <alignment horizontal="center"/>
    </xf>
    <xf numFmtId="7" fontId="9" fillId="2" borderId="56" xfId="0" applyNumberFormat="1" applyFont="1" applyFill="1" applyBorder="1" applyAlignment="1">
      <alignment horizontal="center"/>
    </xf>
    <xf numFmtId="0" fontId="9" fillId="2" borderId="20" xfId="0" applyFont="1" applyFill="1" applyBorder="1" applyAlignment="1">
      <alignment horizontal="center"/>
    </xf>
    <xf numFmtId="171" fontId="9" fillId="2" borderId="0" xfId="0" applyNumberFormat="1" applyFont="1" applyFill="1" applyBorder="1" applyAlignment="1">
      <alignment horizontal="center"/>
    </xf>
    <xf numFmtId="171" fontId="9" fillId="2" borderId="0" xfId="0" applyNumberFormat="1" applyFont="1" applyFill="1" applyAlignment="1">
      <alignment horizontal="center"/>
    </xf>
    <xf numFmtId="171" fontId="3" fillId="6" borderId="19" xfId="0" applyNumberFormat="1" applyFont="1" applyFill="1" applyBorder="1" applyAlignment="1">
      <alignment horizontal="center"/>
    </xf>
    <xf numFmtId="168" fontId="9" fillId="2" borderId="47" xfId="0" applyNumberFormat="1" applyFont="1" applyFill="1" applyBorder="1" applyAlignment="1">
      <alignment horizontal="center"/>
    </xf>
    <xf numFmtId="168" fontId="9" fillId="2" borderId="17" xfId="0" applyNumberFormat="1" applyFont="1" applyFill="1" applyBorder="1" applyAlignment="1">
      <alignment horizontal="center"/>
    </xf>
    <xf numFmtId="0" fontId="2" fillId="11" borderId="30" xfId="0" applyFont="1" applyFill="1" applyBorder="1"/>
    <xf numFmtId="7" fontId="9" fillId="2" borderId="0" xfId="0" applyNumberFormat="1" applyFont="1" applyFill="1" applyAlignment="1">
      <alignment horizontal="center"/>
    </xf>
    <xf numFmtId="0" fontId="6" fillId="11" borderId="28" xfId="0" applyFont="1" applyFill="1" applyBorder="1"/>
    <xf numFmtId="0" fontId="2" fillId="11" borderId="29" xfId="0" applyFont="1" applyFill="1" applyBorder="1" applyAlignment="1">
      <alignment horizontal="right"/>
    </xf>
    <xf numFmtId="0" fontId="3" fillId="9" borderId="31" xfId="0" applyFont="1" applyFill="1" applyBorder="1"/>
    <xf numFmtId="0" fontId="9" fillId="9" borderId="36" xfId="0" applyFont="1" applyFill="1" applyBorder="1"/>
    <xf numFmtId="0" fontId="9" fillId="9" borderId="32" xfId="0" applyFont="1" applyFill="1" applyBorder="1"/>
    <xf numFmtId="0" fontId="3" fillId="6" borderId="30" xfId="0" applyFont="1" applyFill="1" applyBorder="1" applyAlignment="1">
      <alignment horizontal="center"/>
    </xf>
    <xf numFmtId="0" fontId="3" fillId="6" borderId="29" xfId="0" applyFont="1" applyFill="1" applyBorder="1" applyAlignment="1">
      <alignment horizontal="center"/>
    </xf>
    <xf numFmtId="0" fontId="9" fillId="2" borderId="20" xfId="0" applyFont="1" applyFill="1" applyBorder="1" applyAlignment="1">
      <alignment horizontal="center"/>
    </xf>
    <xf numFmtId="0" fontId="9" fillId="2" borderId="18" xfId="0" applyFont="1" applyFill="1" applyBorder="1" applyAlignment="1">
      <alignment horizontal="center"/>
    </xf>
    <xf numFmtId="0" fontId="9" fillId="2" borderId="21" xfId="0" applyFont="1" applyFill="1" applyBorder="1" applyAlignment="1">
      <alignment horizontal="center"/>
    </xf>
    <xf numFmtId="0" fontId="9" fillId="2" borderId="23" xfId="0" applyFont="1" applyFill="1" applyBorder="1" applyAlignment="1">
      <alignment horizontal="center"/>
    </xf>
    <xf numFmtId="0" fontId="9" fillId="2" borderId="31" xfId="0" applyFont="1" applyFill="1" applyBorder="1" applyAlignment="1">
      <alignment horizontal="center"/>
    </xf>
    <xf numFmtId="0" fontId="9" fillId="0" borderId="0" xfId="0" applyFont="1"/>
    <xf numFmtId="0" fontId="9" fillId="0" borderId="0" xfId="0" applyFont="1" applyBorder="1"/>
    <xf numFmtId="0" fontId="3" fillId="0" borderId="0" xfId="0" applyFont="1" applyBorder="1" applyAlignment="1">
      <alignment horizontal="center"/>
    </xf>
    <xf numFmtId="167" fontId="9" fillId="0" borderId="0" xfId="0" applyNumberFormat="1" applyFont="1" applyBorder="1"/>
    <xf numFmtId="0" fontId="9" fillId="0" borderId="0" xfId="0" applyFont="1" applyBorder="1" applyAlignment="1">
      <alignment horizontal="center"/>
    </xf>
    <xf numFmtId="0" fontId="3" fillId="5" borderId="29" xfId="0" applyFont="1" applyFill="1" applyBorder="1" applyAlignment="1">
      <alignment horizontal="right"/>
    </xf>
    <xf numFmtId="0" fontId="3" fillId="0" borderId="0" xfId="0" applyFont="1" applyBorder="1" applyAlignment="1"/>
    <xf numFmtId="168" fontId="9" fillId="0" borderId="0" xfId="0" applyNumberFormat="1" applyFont="1" applyBorder="1" applyAlignment="1">
      <alignment horizontal="center"/>
    </xf>
    <xf numFmtId="0" fontId="2" fillId="5" borderId="28" xfId="0" applyFont="1" applyFill="1" applyBorder="1" applyAlignment="1"/>
    <xf numFmtId="0" fontId="3" fillId="13" borderId="36" xfId="0" applyFont="1" applyFill="1" applyBorder="1" applyAlignment="1">
      <alignment horizontal="center" wrapText="1"/>
    </xf>
    <xf numFmtId="168" fontId="9" fillId="0" borderId="18" xfId="0" applyNumberFormat="1" applyFont="1" applyBorder="1" applyAlignment="1">
      <alignment horizontal="center"/>
    </xf>
    <xf numFmtId="168" fontId="9" fillId="0" borderId="22" xfId="0" applyNumberFormat="1" applyFont="1" applyBorder="1" applyAlignment="1">
      <alignment horizontal="center"/>
    </xf>
    <xf numFmtId="168" fontId="9" fillId="0" borderId="23" xfId="0" applyNumberFormat="1" applyFont="1" applyBorder="1" applyAlignment="1">
      <alignment horizontal="center"/>
    </xf>
    <xf numFmtId="0" fontId="9" fillId="13" borderId="46" xfId="0" applyFont="1" applyFill="1" applyBorder="1" applyAlignment="1">
      <alignment horizontal="center"/>
    </xf>
    <xf numFmtId="0" fontId="9" fillId="0" borderId="47" xfId="0" applyFont="1" applyBorder="1" applyAlignment="1">
      <alignment horizontal="center"/>
    </xf>
    <xf numFmtId="0" fontId="9" fillId="0" borderId="17" xfId="0" applyFont="1" applyBorder="1" applyAlignment="1">
      <alignment horizontal="center"/>
    </xf>
    <xf numFmtId="0" fontId="3" fillId="13" borderId="46" xfId="0" applyFont="1" applyFill="1" applyBorder="1" applyAlignment="1">
      <alignment horizontal="center"/>
    </xf>
    <xf numFmtId="168" fontId="9" fillId="0" borderId="47" xfId="0" applyNumberFormat="1" applyFont="1" applyBorder="1" applyAlignment="1">
      <alignment horizontal="center"/>
    </xf>
    <xf numFmtId="168" fontId="9" fillId="0" borderId="17" xfId="0" applyNumberFormat="1" applyFont="1" applyBorder="1" applyAlignment="1">
      <alignment horizontal="center"/>
    </xf>
    <xf numFmtId="0" fontId="3" fillId="13" borderId="46" xfId="0" applyFont="1" applyFill="1" applyBorder="1" applyAlignment="1">
      <alignment horizontal="center" wrapText="1"/>
    </xf>
    <xf numFmtId="0" fontId="3" fillId="12" borderId="28" xfId="0" applyFont="1" applyFill="1" applyBorder="1" applyAlignment="1">
      <alignment horizontal="center"/>
    </xf>
    <xf numFmtId="0" fontId="3" fillId="12" borderId="19" xfId="0" applyFont="1" applyFill="1" applyBorder="1" applyAlignment="1">
      <alignment horizontal="center"/>
    </xf>
    <xf numFmtId="0" fontId="3" fillId="0" borderId="0" xfId="0" applyFont="1" applyBorder="1" applyAlignment="1">
      <alignment horizontal="right"/>
    </xf>
    <xf numFmtId="167" fontId="9" fillId="0" borderId="0" xfId="0" applyNumberFormat="1" applyFont="1" applyBorder="1" applyAlignment="1">
      <alignment horizontal="center"/>
    </xf>
    <xf numFmtId="168" fontId="9" fillId="0" borderId="20" xfId="0" applyNumberFormat="1" applyFont="1" applyBorder="1" applyAlignment="1">
      <alignment horizontal="center"/>
    </xf>
    <xf numFmtId="168" fontId="9" fillId="0" borderId="21" xfId="0" applyNumberFormat="1" applyFont="1" applyBorder="1" applyAlignment="1">
      <alignment horizontal="center"/>
    </xf>
    <xf numFmtId="0" fontId="2" fillId="5" borderId="29" xfId="0" applyFont="1" applyFill="1" applyBorder="1" applyAlignment="1">
      <alignment horizontal="right"/>
    </xf>
    <xf numFmtId="7" fontId="9" fillId="2" borderId="23" xfId="0" applyNumberFormat="1" applyFont="1" applyFill="1" applyBorder="1" applyAlignment="1">
      <alignment horizontal="center"/>
    </xf>
    <xf numFmtId="7" fontId="9" fillId="2" borderId="18" xfId="2" applyFont="1" applyBorder="1" applyAlignment="1">
      <alignment horizontal="center"/>
    </xf>
    <xf numFmtId="7" fontId="9" fillId="2" borderId="23" xfId="2" applyFont="1" applyBorder="1" applyAlignment="1">
      <alignment horizontal="center"/>
    </xf>
    <xf numFmtId="0" fontId="8" fillId="0" borderId="0" xfId="0" applyFont="1" applyFill="1" applyBorder="1" applyAlignment="1"/>
    <xf numFmtId="0" fontId="9" fillId="0" borderId="0" xfId="0" applyFont="1" applyFill="1" applyBorder="1" applyAlignment="1"/>
    <xf numFmtId="5" fontId="0" fillId="2" borderId="36" xfId="0" applyNumberFormat="1" applyFill="1" applyBorder="1" applyAlignment="1">
      <alignment horizontal="center"/>
    </xf>
    <xf numFmtId="7" fontId="9" fillId="2" borderId="22" xfId="0" applyNumberFormat="1" applyFont="1" applyFill="1" applyBorder="1" applyAlignment="1">
      <alignment horizontal="center"/>
    </xf>
    <xf numFmtId="0" fontId="9" fillId="2" borderId="31" xfId="0" applyFont="1" applyFill="1" applyBorder="1"/>
    <xf numFmtId="168" fontId="9" fillId="2" borderId="18" xfId="2" applyNumberFormat="1" applyFont="1" applyBorder="1" applyAlignment="1">
      <alignment horizontal="center"/>
    </xf>
    <xf numFmtId="168" fontId="9" fillId="2" borderId="23" xfId="2" applyNumberFormat="1" applyFont="1" applyBorder="1" applyAlignment="1">
      <alignment horizontal="center"/>
    </xf>
    <xf numFmtId="171" fontId="9" fillId="2" borderId="47" xfId="0" applyNumberFormat="1" applyFont="1" applyFill="1" applyBorder="1" applyAlignment="1">
      <alignment horizontal="center"/>
    </xf>
    <xf numFmtId="171" fontId="9" fillId="2" borderId="17" xfId="0" applyNumberFormat="1" applyFont="1" applyFill="1" applyBorder="1" applyAlignment="1">
      <alignment horizontal="center"/>
    </xf>
    <xf numFmtId="0" fontId="9" fillId="6" borderId="0" xfId="0" applyFont="1" applyFill="1" applyBorder="1"/>
    <xf numFmtId="10" fontId="9" fillId="6" borderId="0" xfId="0" applyNumberFormat="1" applyFont="1" applyFill="1" applyBorder="1"/>
    <xf numFmtId="0" fontId="9" fillId="7" borderId="0" xfId="0" applyFont="1" applyFill="1" applyBorder="1" applyAlignment="1">
      <alignment horizontal="center"/>
    </xf>
    <xf numFmtId="10" fontId="9" fillId="7" borderId="0" xfId="0" applyNumberFormat="1" applyFont="1" applyFill="1" applyBorder="1" applyAlignment="1">
      <alignment horizontal="center"/>
    </xf>
    <xf numFmtId="0" fontId="9" fillId="2" borderId="33" xfId="0" applyFont="1" applyFill="1" applyBorder="1" applyAlignment="1">
      <alignment horizontal="left"/>
    </xf>
    <xf numFmtId="0" fontId="9" fillId="2" borderId="25" xfId="0" applyFont="1" applyFill="1" applyBorder="1" applyAlignment="1">
      <alignment horizontal="center"/>
    </xf>
    <xf numFmtId="0" fontId="9" fillId="2" borderId="26" xfId="0" applyFont="1" applyFill="1" applyBorder="1" applyAlignment="1">
      <alignment horizontal="center"/>
    </xf>
    <xf numFmtId="5" fontId="9" fillId="0" borderId="0" xfId="0" applyNumberFormat="1" applyFont="1" applyFill="1" applyBorder="1" applyAlignment="1">
      <alignment horizontal="left"/>
    </xf>
    <xf numFmtId="5" fontId="9" fillId="7" borderId="16" xfId="0" applyNumberFormat="1" applyFont="1" applyFill="1" applyBorder="1" applyAlignment="1">
      <alignment horizontal="center"/>
    </xf>
    <xf numFmtId="5" fontId="9" fillId="0" borderId="15" xfId="0" applyNumberFormat="1" applyFont="1" applyFill="1" applyBorder="1" applyAlignment="1">
      <alignment horizontal="center"/>
    </xf>
    <xf numFmtId="5" fontId="9" fillId="0" borderId="27" xfId="0" applyNumberFormat="1" applyFont="1" applyFill="1" applyBorder="1" applyAlignment="1">
      <alignment horizontal="center"/>
    </xf>
    <xf numFmtId="5" fontId="9" fillId="0" borderId="33" xfId="0" applyNumberFormat="1" applyFont="1" applyFill="1" applyBorder="1" applyAlignment="1">
      <alignment horizontal="left"/>
    </xf>
    <xf numFmtId="5" fontId="9" fillId="0" borderId="25" xfId="0" applyNumberFormat="1" applyFont="1" applyFill="1" applyBorder="1" applyAlignment="1">
      <alignment horizontal="left"/>
    </xf>
    <xf numFmtId="0" fontId="9" fillId="0" borderId="35" xfId="0" applyFont="1" applyFill="1" applyBorder="1" applyAlignment="1">
      <alignment horizontal="center"/>
    </xf>
    <xf numFmtId="0" fontId="11" fillId="0" borderId="35" xfId="0" applyNumberFormat="1" applyFont="1" applyFill="1" applyBorder="1" applyAlignment="1" applyProtection="1"/>
    <xf numFmtId="0" fontId="11" fillId="0" borderId="0" xfId="0" applyNumberFormat="1" applyFont="1" applyFill="1" applyBorder="1" applyAlignment="1" applyProtection="1"/>
    <xf numFmtId="0" fontId="11" fillId="0" borderId="26" xfId="0" applyNumberFormat="1" applyFont="1" applyFill="1" applyBorder="1" applyAlignment="1" applyProtection="1"/>
    <xf numFmtId="0" fontId="9" fillId="0" borderId="0" xfId="0" applyNumberFormat="1" applyFont="1" applyFill="1" applyBorder="1" applyAlignment="1" applyProtection="1"/>
    <xf numFmtId="169" fontId="11" fillId="0" borderId="38" xfId="9" applyNumberFormat="1" applyFont="1" applyFill="1" applyBorder="1" applyAlignment="1" applyProtection="1"/>
    <xf numFmtId="0" fontId="9" fillId="2" borderId="24" xfId="0" applyFont="1" applyFill="1" applyBorder="1"/>
    <xf numFmtId="0" fontId="7" fillId="11" borderId="30" xfId="0" applyFont="1" applyFill="1" applyBorder="1" applyAlignment="1"/>
    <xf numFmtId="0" fontId="7" fillId="3" borderId="30" xfId="0" applyFont="1" applyFill="1" applyBorder="1" applyAlignment="1"/>
    <xf numFmtId="0" fontId="6" fillId="3" borderId="28" xfId="0" applyFont="1" applyFill="1" applyBorder="1" applyAlignment="1"/>
    <xf numFmtId="0" fontId="7" fillId="3" borderId="29" xfId="0" applyFont="1" applyFill="1" applyBorder="1" applyAlignment="1">
      <alignment horizontal="right"/>
    </xf>
    <xf numFmtId="5" fontId="5" fillId="2" borderId="0" xfId="0" applyNumberFormat="1" applyFont="1" applyFill="1" applyBorder="1" applyAlignment="1">
      <alignment horizontal="center"/>
    </xf>
    <xf numFmtId="0" fontId="7" fillId="3" borderId="28" xfId="0" applyFont="1" applyFill="1" applyBorder="1" applyAlignment="1"/>
    <xf numFmtId="0" fontId="4" fillId="0" borderId="0" xfId="0" applyFont="1" applyFill="1" applyBorder="1" applyAlignment="1">
      <alignment horizontal="center"/>
    </xf>
    <xf numFmtId="0" fontId="3" fillId="6" borderId="40" xfId="0" applyFont="1" applyFill="1" applyBorder="1" applyAlignment="1">
      <alignment horizontal="center"/>
    </xf>
    <xf numFmtId="0" fontId="3" fillId="6" borderId="41" xfId="0" applyFont="1" applyFill="1" applyBorder="1" applyAlignment="1">
      <alignment horizontal="center"/>
    </xf>
    <xf numFmtId="0" fontId="9" fillId="2" borderId="42" xfId="0" applyFont="1" applyFill="1" applyBorder="1" applyAlignment="1">
      <alignment horizontal="center"/>
    </xf>
    <xf numFmtId="171" fontId="9" fillId="0" borderId="0" xfId="0" applyNumberFormat="1" applyFont="1" applyBorder="1" applyAlignment="1">
      <alignment horizontal="center"/>
    </xf>
    <xf numFmtId="0" fontId="9" fillId="2" borderId="48" xfId="0" applyFont="1" applyFill="1" applyBorder="1" applyAlignment="1">
      <alignment horizontal="center"/>
    </xf>
    <xf numFmtId="0" fontId="3" fillId="13" borderId="17" xfId="0" applyFont="1" applyFill="1" applyBorder="1" applyAlignment="1">
      <alignment horizontal="center"/>
    </xf>
    <xf numFmtId="0" fontId="3" fillId="13" borderId="32" xfId="0" applyFont="1" applyFill="1" applyBorder="1" applyAlignment="1">
      <alignment horizontal="center"/>
    </xf>
    <xf numFmtId="0" fontId="3" fillId="13" borderId="23" xfId="0" applyFont="1" applyFill="1" applyBorder="1" applyAlignment="1">
      <alignment horizontal="center"/>
    </xf>
    <xf numFmtId="0" fontId="3" fillId="12" borderId="30" xfId="0" applyFont="1" applyFill="1" applyBorder="1" applyAlignment="1">
      <alignment horizontal="center"/>
    </xf>
    <xf numFmtId="0" fontId="3" fillId="12" borderId="29" xfId="0" applyFont="1" applyFill="1" applyBorder="1" applyAlignment="1">
      <alignment horizontal="center"/>
    </xf>
    <xf numFmtId="0" fontId="9" fillId="0" borderId="26" xfId="0" applyFont="1" applyFill="1" applyBorder="1" applyAlignment="1">
      <alignment horizontal="center"/>
    </xf>
    <xf numFmtId="168" fontId="9" fillId="0" borderId="26" xfId="0" applyNumberFormat="1" applyFont="1" applyFill="1" applyBorder="1"/>
    <xf numFmtId="168" fontId="9" fillId="0" borderId="27" xfId="0" applyNumberFormat="1" applyFont="1" applyFill="1" applyBorder="1"/>
    <xf numFmtId="6" fontId="9" fillId="2" borderId="0" xfId="0" applyNumberFormat="1" applyFont="1" applyFill="1"/>
    <xf numFmtId="168" fontId="9" fillId="2" borderId="0" xfId="0" applyNumberFormat="1" applyFont="1" applyFill="1" applyAlignment="1">
      <alignment horizontal="right"/>
    </xf>
    <xf numFmtId="0" fontId="9" fillId="2" borderId="34" xfId="0" applyFont="1" applyFill="1" applyBorder="1" applyAlignment="1">
      <alignment horizontal="center"/>
    </xf>
    <xf numFmtId="0" fontId="9" fillId="2" borderId="0" xfId="0" applyFont="1" applyFill="1" applyAlignment="1">
      <alignment wrapText="1"/>
    </xf>
    <xf numFmtId="0" fontId="9" fillId="0" borderId="35" xfId="0" applyFont="1" applyFill="1" applyBorder="1"/>
    <xf numFmtId="0" fontId="9" fillId="0" borderId="26" xfId="0" applyFont="1" applyFill="1" applyBorder="1"/>
    <xf numFmtId="5" fontId="9" fillId="7" borderId="35" xfId="0" applyNumberFormat="1" applyFont="1" applyFill="1" applyBorder="1" applyAlignment="1">
      <alignment horizontal="center"/>
    </xf>
    <xf numFmtId="168" fontId="9" fillId="0" borderId="26" xfId="0" applyNumberFormat="1" applyFont="1" applyFill="1" applyBorder="1" applyAlignment="1">
      <alignment horizontal="center"/>
    </xf>
    <xf numFmtId="5" fontId="9" fillId="0" borderId="26" xfId="0" applyNumberFormat="1" applyFont="1" applyFill="1" applyBorder="1" applyAlignment="1">
      <alignment horizontal="center"/>
    </xf>
    <xf numFmtId="0" fontId="7" fillId="3" borderId="30" xfId="0" applyFont="1" applyFill="1" applyBorder="1" applyAlignment="1">
      <alignment horizontal="left"/>
    </xf>
    <xf numFmtId="0" fontId="7" fillId="3" borderId="28" xfId="0" applyFont="1" applyFill="1" applyBorder="1" applyAlignment="1">
      <alignment horizontal="left"/>
    </xf>
    <xf numFmtId="2" fontId="9" fillId="2" borderId="0" xfId="0" applyNumberFormat="1" applyFont="1" applyFill="1" applyBorder="1" applyAlignment="1">
      <alignment horizontal="center"/>
    </xf>
    <xf numFmtId="169" fontId="0" fillId="0" borderId="0" xfId="0" applyNumberFormat="1"/>
    <xf numFmtId="169" fontId="0" fillId="0" borderId="26" xfId="0" applyNumberFormat="1" applyBorder="1"/>
    <xf numFmtId="169" fontId="0" fillId="0" borderId="22" xfId="0" applyNumberFormat="1" applyBorder="1"/>
    <xf numFmtId="169" fontId="9" fillId="0" borderId="22" xfId="0" applyNumberFormat="1" applyFont="1" applyBorder="1"/>
    <xf numFmtId="170" fontId="0" fillId="0" borderId="0" xfId="0" applyNumberFormat="1"/>
    <xf numFmtId="0" fontId="6" fillId="5" borderId="28" xfId="0" applyFont="1" applyFill="1" applyBorder="1"/>
    <xf numFmtId="0" fontId="0" fillId="0" borderId="0" xfId="0"/>
    <xf numFmtId="0" fontId="0" fillId="0" borderId="0" xfId="0" applyFill="1" applyBorder="1"/>
    <xf numFmtId="169" fontId="0" fillId="0" borderId="0" xfId="0" applyNumberFormat="1" applyFill="1" applyBorder="1"/>
    <xf numFmtId="169" fontId="0" fillId="0" borderId="47" xfId="0" applyNumberFormat="1" applyBorder="1"/>
    <xf numFmtId="169" fontId="0" fillId="0" borderId="46" xfId="0" applyNumberFormat="1" applyBorder="1"/>
    <xf numFmtId="2" fontId="3" fillId="6" borderId="19" xfId="0" applyNumberFormat="1" applyFont="1" applyFill="1" applyBorder="1" applyAlignment="1">
      <alignment horizontal="center"/>
    </xf>
    <xf numFmtId="169" fontId="0" fillId="0" borderId="17" xfId="0" applyNumberFormat="1" applyBorder="1"/>
    <xf numFmtId="0" fontId="9" fillId="0" borderId="47" xfId="0" applyFont="1" applyFill="1" applyBorder="1" applyAlignment="1">
      <alignment horizontal="center"/>
    </xf>
    <xf numFmtId="0" fontId="9" fillId="2" borderId="61" xfId="0" applyFont="1" applyFill="1" applyBorder="1" applyAlignment="1">
      <alignment horizontal="center"/>
    </xf>
    <xf numFmtId="0" fontId="9" fillId="2" borderId="43" xfId="0" applyFont="1" applyFill="1" applyBorder="1" applyAlignment="1">
      <alignment horizontal="center"/>
    </xf>
    <xf numFmtId="0" fontId="7" fillId="5" borderId="30" xfId="0" applyFont="1" applyFill="1" applyBorder="1"/>
    <xf numFmtId="0" fontId="3" fillId="3" borderId="28" xfId="0" applyFont="1" applyFill="1" applyBorder="1" applyAlignment="1">
      <alignment horizontal="right"/>
    </xf>
    <xf numFmtId="0" fontId="9" fillId="3" borderId="28" xfId="0" applyFont="1" applyFill="1" applyBorder="1"/>
    <xf numFmtId="0" fontId="14" fillId="2" borderId="0" xfId="0" applyFont="1" applyFill="1" applyAlignment="1">
      <alignment horizontal="center"/>
    </xf>
    <xf numFmtId="0" fontId="13" fillId="6" borderId="19" xfId="0" applyFont="1" applyFill="1" applyBorder="1" applyAlignment="1">
      <alignment horizontal="center"/>
    </xf>
    <xf numFmtId="0" fontId="14" fillId="2" borderId="46" xfId="0" applyFont="1" applyFill="1" applyBorder="1" applyAlignment="1">
      <alignment horizontal="center"/>
    </xf>
    <xf numFmtId="0" fontId="14" fillId="2" borderId="47" xfId="0" applyFont="1" applyFill="1" applyBorder="1" applyAlignment="1">
      <alignment horizontal="center"/>
    </xf>
    <xf numFmtId="0" fontId="14" fillId="2" borderId="17" xfId="0" applyFont="1" applyFill="1" applyBorder="1" applyAlignment="1">
      <alignment horizontal="center"/>
    </xf>
    <xf numFmtId="0" fontId="14" fillId="2" borderId="18" xfId="0" applyFont="1" applyFill="1" applyBorder="1" applyAlignment="1">
      <alignment horizontal="center"/>
    </xf>
    <xf numFmtId="0" fontId="14" fillId="2" borderId="23" xfId="0" applyFont="1" applyFill="1" applyBorder="1" applyAlignment="1">
      <alignment horizontal="center"/>
    </xf>
    <xf numFmtId="0" fontId="12" fillId="12" borderId="19" xfId="0" applyFont="1" applyFill="1" applyBorder="1" applyAlignment="1">
      <alignment horizontal="center" vertical="center"/>
    </xf>
    <xf numFmtId="0" fontId="0" fillId="12" borderId="19" xfId="0" applyFill="1" applyBorder="1" applyAlignment="1">
      <alignment horizontal="center" vertical="center"/>
    </xf>
    <xf numFmtId="0" fontId="7" fillId="3" borderId="29" xfId="0" applyFont="1" applyFill="1" applyBorder="1" applyAlignment="1"/>
    <xf numFmtId="0" fontId="7" fillId="14" borderId="30" xfId="0" applyFont="1" applyFill="1" applyBorder="1"/>
    <xf numFmtId="0" fontId="6" fillId="14" borderId="28" xfId="0" applyFont="1" applyFill="1" applyBorder="1"/>
    <xf numFmtId="0" fontId="2" fillId="14" borderId="28" xfId="0" applyFont="1" applyFill="1" applyBorder="1" applyAlignment="1">
      <alignment horizontal="right"/>
    </xf>
    <xf numFmtId="0" fontId="7" fillId="11" borderId="29" xfId="0" applyFont="1" applyFill="1" applyBorder="1" applyAlignment="1">
      <alignment horizontal="right"/>
    </xf>
    <xf numFmtId="0" fontId="0" fillId="0" borderId="0" xfId="0" applyBorder="1"/>
    <xf numFmtId="171" fontId="11" fillId="0" borderId="0" xfId="9" applyNumberFormat="1" applyFont="1" applyFill="1" applyBorder="1" applyAlignment="1" applyProtection="1">
      <alignment horizontal="center"/>
    </xf>
    <xf numFmtId="0" fontId="7" fillId="3" borderId="4" xfId="0" applyFont="1" applyFill="1" applyBorder="1" applyAlignment="1">
      <alignment horizontal="right"/>
    </xf>
    <xf numFmtId="0" fontId="8" fillId="3" borderId="58" xfId="0" applyFont="1" applyFill="1" applyBorder="1"/>
    <xf numFmtId="0" fontId="9" fillId="3" borderId="59" xfId="0" applyFont="1" applyFill="1" applyBorder="1"/>
    <xf numFmtId="0" fontId="9" fillId="3" borderId="60" xfId="0" applyFont="1" applyFill="1" applyBorder="1"/>
    <xf numFmtId="2" fontId="3" fillId="0" borderId="0" xfId="0" applyNumberFormat="1" applyFont="1" applyFill="1" applyBorder="1" applyAlignment="1">
      <alignment horizontal="center"/>
    </xf>
    <xf numFmtId="0" fontId="3" fillId="6" borderId="19" xfId="0" applyFont="1" applyFill="1" applyBorder="1" applyAlignment="1">
      <alignment horizontal="center" vertical="center"/>
    </xf>
    <xf numFmtId="0" fontId="9" fillId="2" borderId="0" xfId="0" applyFont="1" applyFill="1" applyAlignment="1">
      <alignment horizontal="center" vertical="center"/>
    </xf>
    <xf numFmtId="0" fontId="3" fillId="6" borderId="30" xfId="0" applyFont="1" applyFill="1" applyBorder="1" applyAlignment="1">
      <alignment horizontal="center" vertical="center"/>
    </xf>
    <xf numFmtId="0" fontId="3" fillId="0" borderId="0" xfId="0" applyFont="1" applyFill="1" applyBorder="1" applyAlignment="1">
      <alignment horizontal="center" vertical="center"/>
    </xf>
    <xf numFmtId="0" fontId="3" fillId="6" borderId="55" xfId="0" applyFont="1" applyFill="1" applyBorder="1" applyAlignment="1">
      <alignment horizontal="center" vertical="center"/>
    </xf>
    <xf numFmtId="0" fontId="3" fillId="6" borderId="49" xfId="0" applyFont="1" applyFill="1" applyBorder="1" applyAlignment="1">
      <alignment horizontal="center" vertical="center"/>
    </xf>
    <xf numFmtId="0" fontId="3" fillId="6" borderId="50" xfId="0" applyFont="1" applyFill="1" applyBorder="1" applyAlignment="1">
      <alignment horizontal="center" vertical="center"/>
    </xf>
    <xf numFmtId="0" fontId="9" fillId="2" borderId="0" xfId="0" applyFont="1" applyFill="1" applyAlignment="1">
      <alignment vertical="center"/>
    </xf>
    <xf numFmtId="0" fontId="9" fillId="2" borderId="52" xfId="0" applyFont="1" applyFill="1" applyBorder="1" applyAlignment="1">
      <alignment horizontal="center" vertical="center"/>
    </xf>
    <xf numFmtId="0" fontId="9" fillId="2" borderId="57" xfId="0" applyFont="1" applyFill="1" applyBorder="1" applyAlignment="1">
      <alignment horizontal="center" vertical="center"/>
    </xf>
    <xf numFmtId="0" fontId="9" fillId="2" borderId="53"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0" xfId="0" applyFont="1" applyFill="1" applyBorder="1" applyAlignment="1">
      <alignment vertical="center"/>
    </xf>
    <xf numFmtId="7" fontId="9" fillId="2" borderId="7" xfId="0" applyNumberFormat="1" applyFont="1" applyFill="1" applyBorder="1" applyAlignment="1">
      <alignment horizontal="center" vertical="center"/>
    </xf>
    <xf numFmtId="7" fontId="9" fillId="2" borderId="51" xfId="0" applyNumberFormat="1" applyFont="1" applyFill="1" applyBorder="1" applyAlignment="1">
      <alignment horizontal="center" vertical="center"/>
    </xf>
    <xf numFmtId="0" fontId="9" fillId="2" borderId="21" xfId="0" applyFont="1" applyFill="1" applyBorder="1" applyAlignment="1">
      <alignment horizontal="center" vertical="center"/>
    </xf>
    <xf numFmtId="7" fontId="9" fillId="2" borderId="54" xfId="0" applyNumberFormat="1" applyFont="1" applyFill="1" applyBorder="1" applyAlignment="1">
      <alignment horizontal="center" vertical="center"/>
    </xf>
    <xf numFmtId="7" fontId="9" fillId="2" borderId="56" xfId="0" applyNumberFormat="1" applyFont="1" applyFill="1" applyBorder="1" applyAlignment="1">
      <alignment horizontal="center" vertical="center"/>
    </xf>
    <xf numFmtId="7" fontId="9" fillId="2" borderId="12" xfId="0" applyNumberFormat="1" applyFont="1" applyFill="1" applyBorder="1" applyAlignment="1">
      <alignment horizontal="center" vertical="center"/>
    </xf>
    <xf numFmtId="0" fontId="7" fillId="3" borderId="30" xfId="0" applyFont="1" applyFill="1" applyBorder="1" applyAlignment="1">
      <alignment vertical="center"/>
    </xf>
    <xf numFmtId="0" fontId="6" fillId="3" borderId="28" xfId="0" applyFont="1" applyFill="1" applyBorder="1" applyAlignment="1">
      <alignment vertical="center"/>
    </xf>
    <xf numFmtId="0" fontId="7" fillId="3" borderId="29" xfId="0" applyFont="1" applyFill="1" applyBorder="1" applyAlignment="1">
      <alignment horizontal="right" vertical="center"/>
    </xf>
    <xf numFmtId="0" fontId="6" fillId="2" borderId="0" xfId="0" applyFont="1" applyFill="1" applyAlignment="1">
      <alignment vertical="center"/>
    </xf>
    <xf numFmtId="0" fontId="7" fillId="5" borderId="29" xfId="0" applyFont="1" applyFill="1" applyBorder="1" applyAlignment="1">
      <alignment horizontal="center" vertical="center"/>
    </xf>
    <xf numFmtId="0" fontId="3" fillId="2" borderId="20" xfId="0" applyFont="1" applyFill="1" applyBorder="1" applyAlignment="1">
      <alignment horizontal="center" vertical="center"/>
    </xf>
    <xf numFmtId="5" fontId="3" fillId="2" borderId="7" xfId="0" applyNumberFormat="1" applyFont="1" applyFill="1" applyBorder="1" applyAlignment="1">
      <alignment horizontal="center" vertical="center"/>
    </xf>
    <xf numFmtId="5" fontId="3" fillId="2" borderId="12" xfId="0" applyNumberFormat="1" applyFont="1" applyFill="1" applyBorder="1" applyAlignment="1">
      <alignment horizontal="center" vertical="center"/>
    </xf>
    <xf numFmtId="5" fontId="3" fillId="2" borderId="51" xfId="0" applyNumberFormat="1" applyFont="1" applyFill="1" applyBorder="1" applyAlignment="1">
      <alignment horizontal="center" vertical="center"/>
    </xf>
    <xf numFmtId="0" fontId="3" fillId="2" borderId="31" xfId="0" applyFont="1" applyFill="1" applyBorder="1" applyAlignment="1">
      <alignment horizontal="center" vertical="center"/>
    </xf>
    <xf numFmtId="5" fontId="3" fillId="2" borderId="52" xfId="0" applyNumberFormat="1" applyFont="1" applyFill="1" applyBorder="1" applyAlignment="1">
      <alignment horizontal="center" vertical="center"/>
    </xf>
    <xf numFmtId="5" fontId="3" fillId="2" borderId="53" xfId="0" applyNumberFormat="1" applyFont="1" applyFill="1" applyBorder="1" applyAlignment="1">
      <alignment horizontal="center" vertical="center"/>
    </xf>
    <xf numFmtId="0" fontId="7" fillId="5" borderId="30" xfId="0" applyFont="1" applyFill="1" applyBorder="1" applyAlignment="1"/>
    <xf numFmtId="0" fontId="7" fillId="5" borderId="29" xfId="0" applyFont="1" applyFill="1" applyBorder="1" applyAlignment="1">
      <alignment horizontal="right"/>
    </xf>
    <xf numFmtId="0" fontId="9" fillId="2" borderId="0" xfId="0" applyFont="1" applyFill="1" applyAlignment="1">
      <alignment horizontal="center"/>
    </xf>
    <xf numFmtId="0" fontId="6" fillId="3" borderId="28" xfId="0" applyFont="1" applyFill="1" applyBorder="1" applyAlignment="1">
      <alignment horizontal="center" vertical="center"/>
    </xf>
    <xf numFmtId="0" fontId="9" fillId="0" borderId="28" xfId="0" applyFont="1" applyBorder="1"/>
    <xf numFmtId="0" fontId="7" fillId="3" borderId="28" xfId="0" applyFont="1" applyFill="1" applyBorder="1" applyAlignment="1">
      <alignment horizontal="right"/>
    </xf>
    <xf numFmtId="0" fontId="9" fillId="5" borderId="28" xfId="0" applyFont="1" applyFill="1" applyBorder="1"/>
    <xf numFmtId="0" fontId="0" fillId="12" borderId="29" xfId="0" applyFill="1" applyBorder="1" applyAlignment="1">
      <alignment horizontal="center" vertical="center"/>
    </xf>
    <xf numFmtId="172" fontId="9" fillId="2" borderId="0" xfId="0" applyNumberFormat="1" applyFont="1" applyFill="1" applyBorder="1" applyAlignment="1">
      <alignment horizontal="center"/>
    </xf>
    <xf numFmtId="172" fontId="0" fillId="2" borderId="0" xfId="0" applyNumberFormat="1" applyFill="1"/>
    <xf numFmtId="172" fontId="9" fillId="2" borderId="0" xfId="0" applyNumberFormat="1" applyFont="1" applyFill="1"/>
    <xf numFmtId="172" fontId="3" fillId="6" borderId="30" xfId="0" applyNumberFormat="1" applyFont="1" applyFill="1" applyBorder="1" applyAlignment="1">
      <alignment horizontal="center"/>
    </xf>
    <xf numFmtId="172" fontId="3" fillId="6" borderId="19" xfId="0" applyNumberFormat="1" applyFont="1" applyFill="1" applyBorder="1" applyAlignment="1">
      <alignment horizontal="center"/>
    </xf>
    <xf numFmtId="172" fontId="3" fillId="2" borderId="0" xfId="0" applyNumberFormat="1" applyFont="1" applyFill="1" applyBorder="1" applyAlignment="1">
      <alignment horizontal="left"/>
    </xf>
    <xf numFmtId="172" fontId="3" fillId="6" borderId="29" xfId="0" applyNumberFormat="1" applyFont="1" applyFill="1" applyBorder="1" applyAlignment="1">
      <alignment horizontal="center"/>
    </xf>
    <xf numFmtId="172" fontId="9" fillId="2" borderId="0" xfId="0" applyNumberFormat="1" applyFont="1" applyFill="1" applyBorder="1"/>
    <xf numFmtId="172" fontId="9" fillId="2" borderId="0" xfId="0" applyNumberFormat="1" applyFont="1" applyFill="1" applyBorder="1" applyAlignment="1">
      <alignment horizontal="right"/>
    </xf>
    <xf numFmtId="172" fontId="9" fillId="2" borderId="0" xfId="0" applyNumberFormat="1" applyFont="1" applyFill="1" applyAlignment="1">
      <alignment horizontal="center"/>
    </xf>
    <xf numFmtId="172" fontId="9" fillId="2" borderId="0" xfId="0" applyNumberFormat="1" applyFont="1" applyFill="1" applyAlignment="1">
      <alignment horizontal="right"/>
    </xf>
    <xf numFmtId="172" fontId="0" fillId="2" borderId="0" xfId="0" applyNumberFormat="1" applyFill="1" applyAlignment="1">
      <alignment horizontal="center"/>
    </xf>
    <xf numFmtId="172" fontId="0" fillId="2" borderId="0" xfId="0" applyNumberFormat="1" applyFill="1" applyAlignment="1">
      <alignment horizontal="right"/>
    </xf>
    <xf numFmtId="172" fontId="3" fillId="2" borderId="0" xfId="0" applyNumberFormat="1" applyFont="1" applyFill="1"/>
    <xf numFmtId="169" fontId="9" fillId="2" borderId="47" xfId="0" applyNumberFormat="1" applyFont="1" applyFill="1" applyBorder="1" applyAlignment="1">
      <alignment horizontal="center"/>
    </xf>
    <xf numFmtId="169" fontId="9" fillId="2" borderId="17" xfId="0" applyNumberFormat="1" applyFont="1" applyFill="1" applyBorder="1" applyAlignment="1">
      <alignment horizontal="center"/>
    </xf>
    <xf numFmtId="169" fontId="9" fillId="2" borderId="18" xfId="0" applyNumberFormat="1" applyFont="1" applyFill="1" applyBorder="1" applyAlignment="1">
      <alignment horizontal="center"/>
    </xf>
    <xf numFmtId="169" fontId="9" fillId="2" borderId="23" xfId="0" applyNumberFormat="1" applyFont="1" applyFill="1" applyBorder="1" applyAlignment="1">
      <alignment horizontal="center"/>
    </xf>
    <xf numFmtId="1" fontId="9" fillId="2" borderId="20" xfId="0" applyNumberFormat="1" applyFont="1" applyFill="1" applyBorder="1" applyAlignment="1">
      <alignment horizontal="center"/>
    </xf>
    <xf numFmtId="1" fontId="9" fillId="2" borderId="21" xfId="0" applyNumberFormat="1" applyFont="1" applyFill="1" applyBorder="1" applyAlignment="1">
      <alignment horizontal="center"/>
    </xf>
    <xf numFmtId="1" fontId="9" fillId="2" borderId="47" xfId="0" applyNumberFormat="1" applyFont="1" applyFill="1" applyBorder="1" applyAlignment="1">
      <alignment horizontal="center"/>
    </xf>
    <xf numFmtId="1" fontId="9" fillId="2" borderId="17" xfId="0" applyNumberFormat="1" applyFont="1" applyFill="1" applyBorder="1" applyAlignment="1">
      <alignment horizontal="center"/>
    </xf>
    <xf numFmtId="0" fontId="9" fillId="2" borderId="20" xfId="0" applyFont="1" applyFill="1" applyBorder="1" applyAlignment="1">
      <alignment horizontal="center"/>
    </xf>
    <xf numFmtId="0" fontId="9" fillId="2" borderId="21" xfId="0" applyFont="1" applyFill="1" applyBorder="1" applyAlignment="1">
      <alignment horizontal="center"/>
    </xf>
    <xf numFmtId="0" fontId="3" fillId="6" borderId="46" xfId="0" applyFont="1" applyFill="1" applyBorder="1" applyAlignment="1">
      <alignment horizontal="center" vertical="center"/>
    </xf>
    <xf numFmtId="2" fontId="3" fillId="6" borderId="46" xfId="0" applyNumberFormat="1" applyFont="1" applyFill="1" applyBorder="1" applyAlignment="1">
      <alignment horizontal="center" vertical="center"/>
    </xf>
    <xf numFmtId="169" fontId="0" fillId="0" borderId="62" xfId="0" applyNumberFormat="1" applyBorder="1"/>
    <xf numFmtId="169" fontId="0" fillId="0" borderId="64" xfId="0" applyNumberFormat="1" applyBorder="1"/>
    <xf numFmtId="169" fontId="0" fillId="0" borderId="65" xfId="0" applyNumberFormat="1" applyBorder="1"/>
    <xf numFmtId="169" fontId="0" fillId="0" borderId="67" xfId="0" applyNumberFormat="1" applyBorder="1"/>
    <xf numFmtId="169" fontId="0" fillId="0" borderId="69" xfId="0" applyNumberFormat="1" applyBorder="1"/>
    <xf numFmtId="169" fontId="0" fillId="0" borderId="70" xfId="0" applyNumberFormat="1" applyBorder="1"/>
    <xf numFmtId="0" fontId="3" fillId="6" borderId="71" xfId="0" applyFont="1" applyFill="1" applyBorder="1" applyAlignment="1">
      <alignment horizontal="center" vertical="center"/>
    </xf>
    <xf numFmtId="0" fontId="3" fillId="6" borderId="72" xfId="0" applyFont="1" applyFill="1" applyBorder="1" applyAlignment="1">
      <alignment horizontal="center" vertical="center"/>
    </xf>
    <xf numFmtId="0" fontId="3" fillId="6" borderId="61" xfId="0" applyFont="1" applyFill="1" applyBorder="1" applyAlignment="1">
      <alignment horizontal="center" vertical="center"/>
    </xf>
    <xf numFmtId="0" fontId="3" fillId="6" borderId="32" xfId="0" applyFont="1" applyFill="1" applyBorder="1" applyAlignment="1">
      <alignment horizontal="center" vertical="center"/>
    </xf>
    <xf numFmtId="0" fontId="9" fillId="2" borderId="31" xfId="0" quotePrefix="1" applyFont="1" applyFill="1" applyBorder="1" applyAlignment="1">
      <alignment horizontal="center"/>
    </xf>
    <xf numFmtId="169" fontId="0" fillId="0" borderId="66" xfId="0" applyNumberFormat="1" applyBorder="1"/>
    <xf numFmtId="169" fontId="0" fillId="0" borderId="68" xfId="0" applyNumberFormat="1" applyBorder="1"/>
    <xf numFmtId="0" fontId="9" fillId="0" borderId="20" xfId="0" quotePrefix="1" applyNumberFormat="1" applyFont="1" applyFill="1" applyBorder="1" applyAlignment="1" applyProtection="1">
      <alignment horizontal="center"/>
    </xf>
    <xf numFmtId="0" fontId="9" fillId="0" borderId="20" xfId="0" applyNumberFormat="1" applyFont="1" applyFill="1" applyBorder="1" applyAlignment="1" applyProtection="1">
      <alignment horizontal="center"/>
    </xf>
    <xf numFmtId="0" fontId="9" fillId="0" borderId="21" xfId="0" applyNumberFormat="1" applyFont="1" applyFill="1" applyBorder="1" applyAlignment="1" applyProtection="1">
      <alignment horizontal="center"/>
    </xf>
    <xf numFmtId="0" fontId="3" fillId="6" borderId="31" xfId="0" applyFont="1" applyFill="1" applyBorder="1" applyAlignment="1">
      <alignment horizontal="center" vertical="center"/>
    </xf>
    <xf numFmtId="0" fontId="3" fillId="6" borderId="36" xfId="0" applyFont="1" applyFill="1" applyBorder="1" applyAlignment="1">
      <alignment horizontal="center" vertical="center"/>
    </xf>
    <xf numFmtId="169" fontId="0" fillId="0" borderId="63" xfId="0" applyNumberFormat="1" applyBorder="1"/>
    <xf numFmtId="0" fontId="3" fillId="12" borderId="46" xfId="0" applyFont="1" applyFill="1" applyBorder="1" applyAlignment="1">
      <alignment horizontal="center" vertical="center"/>
    </xf>
    <xf numFmtId="0" fontId="9" fillId="0" borderId="20" xfId="0" applyFont="1" applyFill="1" applyBorder="1" applyAlignment="1">
      <alignment horizontal="center"/>
    </xf>
    <xf numFmtId="0" fontId="9" fillId="0" borderId="21" xfId="0" applyFont="1" applyFill="1" applyBorder="1" applyAlignment="1">
      <alignment horizontal="center"/>
    </xf>
    <xf numFmtId="2" fontId="3" fillId="6" borderId="61" xfId="0" applyNumberFormat="1" applyFont="1" applyFill="1" applyBorder="1" applyAlignment="1">
      <alignment horizontal="center" vertical="center"/>
    </xf>
    <xf numFmtId="0" fontId="9" fillId="2" borderId="20" xfId="0" applyNumberFormat="1" applyFont="1"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168" fontId="9" fillId="0" borderId="46" xfId="0" applyNumberFormat="1" applyFont="1" applyBorder="1" applyAlignment="1">
      <alignment horizontal="center"/>
    </xf>
    <xf numFmtId="173" fontId="0" fillId="0" borderId="75" xfId="0" applyNumberFormat="1" applyBorder="1"/>
    <xf numFmtId="173" fontId="0" fillId="0" borderId="76" xfId="0" applyNumberFormat="1" applyBorder="1"/>
    <xf numFmtId="173" fontId="0" fillId="0" borderId="77" xfId="0" applyNumberFormat="1" applyBorder="1"/>
    <xf numFmtId="0" fontId="12" fillId="0" borderId="31" xfId="0" applyFont="1" applyBorder="1" applyAlignment="1">
      <alignment horizontal="center"/>
    </xf>
    <xf numFmtId="0" fontId="12" fillId="0" borderId="20" xfId="0" applyFont="1" applyBorder="1" applyAlignment="1">
      <alignment horizontal="center"/>
    </xf>
    <xf numFmtId="0" fontId="12" fillId="0" borderId="21" xfId="0" applyFont="1" applyBorder="1" applyAlignment="1">
      <alignment horizontal="center"/>
    </xf>
    <xf numFmtId="2" fontId="0" fillId="0" borderId="63" xfId="0" applyNumberFormat="1" applyBorder="1"/>
    <xf numFmtId="2" fontId="0" fillId="0" borderId="64" xfId="0" applyNumberFormat="1" applyBorder="1"/>
    <xf numFmtId="2" fontId="0" fillId="0" borderId="65" xfId="0" applyNumberFormat="1" applyBorder="1"/>
    <xf numFmtId="2" fontId="0" fillId="0" borderId="66" xfId="0" applyNumberFormat="1" applyBorder="1"/>
    <xf numFmtId="2" fontId="0" fillId="0" borderId="62" xfId="0" applyNumberFormat="1" applyBorder="1"/>
    <xf numFmtId="2" fontId="0" fillId="0" borderId="67" xfId="0" applyNumberFormat="1" applyBorder="1"/>
    <xf numFmtId="2" fontId="0" fillId="0" borderId="68" xfId="0" applyNumberFormat="1" applyBorder="1"/>
    <xf numFmtId="2" fontId="0" fillId="0" borderId="69" xfId="0" applyNumberFormat="1" applyBorder="1"/>
    <xf numFmtId="2" fontId="0" fillId="0" borderId="70" xfId="0" applyNumberFormat="1" applyBorder="1"/>
    <xf numFmtId="0" fontId="9" fillId="2" borderId="79" xfId="0" applyFont="1" applyFill="1" applyBorder="1" applyAlignment="1">
      <alignment horizontal="center" vertical="center"/>
    </xf>
    <xf numFmtId="5" fontId="3" fillId="2" borderId="38" xfId="2" applyNumberFormat="1" applyFont="1" applyBorder="1"/>
    <xf numFmtId="7" fontId="9" fillId="2" borderId="38" xfId="0" applyNumberFormat="1" applyFont="1" applyFill="1" applyBorder="1" applyAlignment="1">
      <alignment horizontal="center" vertical="center"/>
    </xf>
    <xf numFmtId="7" fontId="9" fillId="2" borderId="80" xfId="0" applyNumberFormat="1" applyFont="1" applyFill="1" applyBorder="1" applyAlignment="1">
      <alignment horizontal="center" vertical="center"/>
    </xf>
    <xf numFmtId="0" fontId="9" fillId="2" borderId="81" xfId="0" applyFont="1" applyFill="1" applyBorder="1" applyAlignment="1">
      <alignment horizontal="center" vertical="center"/>
    </xf>
    <xf numFmtId="5" fontId="3" fillId="2" borderId="82" xfId="2" applyNumberFormat="1" applyFont="1" applyBorder="1"/>
    <xf numFmtId="7" fontId="9" fillId="2" borderId="82" xfId="0" applyNumberFormat="1" applyFont="1" applyFill="1" applyBorder="1" applyAlignment="1">
      <alignment horizontal="center" vertical="center"/>
    </xf>
    <xf numFmtId="7" fontId="9" fillId="2" borderId="83" xfId="0" applyNumberFormat="1" applyFont="1" applyFill="1" applyBorder="1" applyAlignment="1">
      <alignment horizontal="center" vertical="center"/>
    </xf>
    <xf numFmtId="7" fontId="0" fillId="2" borderId="0" xfId="2" applyFont="1"/>
    <xf numFmtId="3" fontId="0" fillId="0" borderId="0" xfId="0" applyNumberFormat="1"/>
    <xf numFmtId="5" fontId="17" fillId="2" borderId="63" xfId="2" applyNumberFormat="1" applyFont="1" applyBorder="1"/>
    <xf numFmtId="5" fontId="17" fillId="2" borderId="64" xfId="2" applyNumberFormat="1" applyFont="1" applyBorder="1"/>
    <xf numFmtId="5" fontId="17" fillId="2" borderId="65" xfId="2" applyNumberFormat="1" applyFont="1" applyBorder="1"/>
    <xf numFmtId="5" fontId="17" fillId="2" borderId="66" xfId="2" applyNumberFormat="1" applyFont="1" applyBorder="1"/>
    <xf numFmtId="5" fontId="17" fillId="2" borderId="62" xfId="2" applyNumberFormat="1" applyFont="1" applyBorder="1"/>
    <xf numFmtId="5" fontId="17" fillId="2" borderId="67" xfId="2" applyNumberFormat="1" applyFont="1" applyBorder="1"/>
    <xf numFmtId="5" fontId="17" fillId="2" borderId="68" xfId="2" applyNumberFormat="1" applyFont="1" applyBorder="1"/>
    <xf numFmtId="5" fontId="17" fillId="2" borderId="69" xfId="2" applyNumberFormat="1" applyFont="1" applyBorder="1"/>
    <xf numFmtId="5" fontId="17" fillId="2" borderId="70" xfId="2" applyNumberFormat="1" applyFont="1" applyBorder="1"/>
    <xf numFmtId="0" fontId="6" fillId="2" borderId="0" xfId="10" applyFont="1" applyFill="1" applyAlignment="1">
      <alignment horizontal="left"/>
    </xf>
    <xf numFmtId="0" fontId="6" fillId="2" borderId="0" xfId="10" applyFont="1" applyFill="1" applyAlignment="1">
      <alignment horizontal="center"/>
    </xf>
    <xf numFmtId="174" fontId="6" fillId="2" borderId="0" xfId="10" applyNumberFormat="1" applyFont="1" applyFill="1" applyAlignment="1">
      <alignment horizontal="center"/>
    </xf>
    <xf numFmtId="174" fontId="6" fillId="0" borderId="0" xfId="10" applyNumberFormat="1" applyFont="1"/>
    <xf numFmtId="0" fontId="6" fillId="2" borderId="0" xfId="10" applyFont="1" applyFill="1"/>
    <xf numFmtId="174" fontId="16" fillId="0" borderId="0" xfId="10" applyNumberFormat="1" applyFont="1" applyAlignment="1">
      <alignment horizontal="center" vertical="center" wrapText="1"/>
    </xf>
    <xf numFmtId="0" fontId="9" fillId="2" borderId="0" xfId="10" applyFill="1"/>
    <xf numFmtId="174" fontId="20" fillId="0" borderId="0" xfId="10" applyNumberFormat="1" applyFont="1" applyAlignment="1">
      <alignment horizontal="center" vertical="center" wrapText="1"/>
    </xf>
    <xf numFmtId="0" fontId="9" fillId="2" borderId="0" xfId="10" applyFill="1" applyAlignment="1">
      <alignment horizontal="center"/>
    </xf>
    <xf numFmtId="170" fontId="9" fillId="0" borderId="0" xfId="10" applyNumberFormat="1"/>
    <xf numFmtId="0" fontId="12" fillId="0" borderId="0" xfId="10" applyFont="1" applyAlignment="1">
      <alignment horizontal="center" vertical="center"/>
    </xf>
    <xf numFmtId="0" fontId="9" fillId="0" borderId="0" xfId="10" applyAlignment="1">
      <alignment horizontal="center" vertical="center"/>
    </xf>
    <xf numFmtId="0" fontId="9" fillId="2" borderId="0" xfId="10" applyFill="1" applyAlignment="1">
      <alignment horizontal="center" vertical="center"/>
    </xf>
    <xf numFmtId="0" fontId="12" fillId="12" borderId="19" xfId="10" applyFont="1" applyFill="1" applyBorder="1" applyAlignment="1">
      <alignment horizontal="center" vertical="center"/>
    </xf>
    <xf numFmtId="0" fontId="9" fillId="12" borderId="46" xfId="10" applyFill="1" applyBorder="1" applyAlignment="1">
      <alignment horizontal="center" vertical="center"/>
    </xf>
    <xf numFmtId="0" fontId="9" fillId="12" borderId="32" xfId="10" applyFill="1" applyBorder="1" applyAlignment="1">
      <alignment horizontal="center" vertical="center"/>
    </xf>
    <xf numFmtId="0" fontId="9" fillId="0" borderId="0" xfId="10"/>
    <xf numFmtId="0" fontId="12" fillId="0" borderId="31" xfId="10" applyFont="1" applyBorder="1" applyAlignment="1">
      <alignment horizontal="center"/>
    </xf>
    <xf numFmtId="0" fontId="12" fillId="0" borderId="20" xfId="10" applyFont="1" applyBorder="1" applyAlignment="1">
      <alignment horizontal="center"/>
    </xf>
    <xf numFmtId="0" fontId="12" fillId="0" borderId="21" xfId="10" applyFont="1" applyBorder="1" applyAlignment="1">
      <alignment horizontal="center"/>
    </xf>
    <xf numFmtId="0" fontId="18" fillId="2" borderId="0" xfId="10" applyFont="1" applyFill="1" applyAlignment="1">
      <alignment vertical="center"/>
    </xf>
    <xf numFmtId="0" fontId="9" fillId="2" borderId="0" xfId="10" applyFill="1" applyAlignment="1">
      <alignment horizontal="left"/>
    </xf>
    <xf numFmtId="174" fontId="9" fillId="2" borderId="0" xfId="10" applyNumberFormat="1" applyFill="1" applyAlignment="1">
      <alignment horizontal="center"/>
    </xf>
    <xf numFmtId="174" fontId="9" fillId="0" borderId="0" xfId="10" applyNumberFormat="1"/>
    <xf numFmtId="0" fontId="0" fillId="0" borderId="74" xfId="0" applyBorder="1" applyAlignment="1">
      <alignment horizontal="left" vertical="center" wrapText="1"/>
    </xf>
    <xf numFmtId="1" fontId="19" fillId="0" borderId="24" xfId="0" applyNumberFormat="1" applyFont="1" applyBorder="1" applyAlignment="1">
      <alignment horizontal="center" vertical="center" wrapText="1"/>
    </xf>
    <xf numFmtId="174" fontId="19" fillId="0" borderId="73" xfId="0" applyNumberFormat="1" applyFont="1" applyBorder="1" applyAlignment="1">
      <alignment horizontal="center" vertical="center" wrapText="1"/>
    </xf>
    <xf numFmtId="0" fontId="0" fillId="0" borderId="66" xfId="0" applyBorder="1" applyAlignment="1">
      <alignment horizontal="left" vertical="center" wrapText="1"/>
    </xf>
    <xf numFmtId="1" fontId="19" fillId="0" borderId="62" xfId="0" applyNumberFormat="1" applyFont="1" applyBorder="1" applyAlignment="1">
      <alignment horizontal="center" vertical="center" wrapText="1"/>
    </xf>
    <xf numFmtId="174" fontId="19" fillId="0" borderId="67" xfId="0" applyNumberFormat="1" applyFont="1" applyBorder="1" applyAlignment="1">
      <alignment horizontal="center" vertical="center" wrapText="1"/>
    </xf>
    <xf numFmtId="0" fontId="21" fillId="15" borderId="84" xfId="0" applyFont="1" applyFill="1" applyBorder="1" applyAlignment="1">
      <alignment horizontal="left" vertical="center" wrapText="1"/>
    </xf>
    <xf numFmtId="0" fontId="21" fillId="15" borderId="78" xfId="0" applyFont="1" applyFill="1" applyBorder="1" applyAlignment="1">
      <alignment horizontal="center" vertical="center" wrapText="1"/>
    </xf>
    <xf numFmtId="174" fontId="21" fillId="15" borderId="85" xfId="0" applyNumberFormat="1" applyFont="1" applyFill="1" applyBorder="1" applyAlignment="1">
      <alignment horizontal="center" vertical="center" wrapText="1"/>
    </xf>
    <xf numFmtId="0" fontId="0" fillId="16" borderId="66" xfId="0" applyFill="1" applyBorder="1" applyAlignment="1">
      <alignment horizontal="left" vertical="center" wrapText="1"/>
    </xf>
    <xf numFmtId="1" fontId="19" fillId="16" borderId="62" xfId="0" applyNumberFormat="1" applyFont="1" applyFill="1" applyBorder="1" applyAlignment="1">
      <alignment horizontal="center" vertical="center" wrapText="1"/>
    </xf>
    <xf numFmtId="174" fontId="19" fillId="16" borderId="67" xfId="0" applyNumberFormat="1" applyFont="1" applyFill="1" applyBorder="1" applyAlignment="1">
      <alignment horizontal="center" vertical="center" wrapText="1"/>
    </xf>
    <xf numFmtId="0" fontId="0" fillId="16" borderId="68" xfId="0" applyFill="1" applyBorder="1" applyAlignment="1">
      <alignment horizontal="left" vertical="center" wrapText="1"/>
    </xf>
    <xf numFmtId="1" fontId="19" fillId="16" borderId="69" xfId="0" applyNumberFormat="1" applyFont="1" applyFill="1" applyBorder="1" applyAlignment="1">
      <alignment horizontal="center" vertical="center" wrapText="1"/>
    </xf>
    <xf numFmtId="174" fontId="19" fillId="16" borderId="70" xfId="0" applyNumberFormat="1" applyFont="1" applyFill="1" applyBorder="1" applyAlignment="1">
      <alignment horizontal="center" vertical="center" wrapText="1"/>
    </xf>
    <xf numFmtId="174" fontId="9" fillId="2" borderId="0" xfId="10" applyNumberFormat="1" applyFill="1"/>
    <xf numFmtId="0" fontId="9" fillId="0" borderId="63" xfId="10" applyBorder="1" applyAlignment="1">
      <alignment vertical="center" wrapText="1"/>
    </xf>
    <xf numFmtId="1" fontId="20" fillId="0" borderId="64" xfId="10" applyNumberFormat="1" applyFont="1" applyBorder="1" applyAlignment="1">
      <alignment horizontal="center" vertical="center" wrapText="1"/>
    </xf>
    <xf numFmtId="174" fontId="20" fillId="0" borderId="65" xfId="10" applyNumberFormat="1" applyFont="1" applyBorder="1" applyAlignment="1">
      <alignment horizontal="center" vertical="center" wrapText="1"/>
    </xf>
    <xf numFmtId="0" fontId="9" fillId="0" borderId="66" xfId="10" applyBorder="1" applyAlignment="1">
      <alignment vertical="center" wrapText="1"/>
    </xf>
    <xf numFmtId="1" fontId="20" fillId="0" borderId="62" xfId="10" applyNumberFormat="1" applyFont="1" applyBorder="1" applyAlignment="1">
      <alignment horizontal="center" vertical="center" wrapText="1"/>
    </xf>
    <xf numFmtId="174" fontId="20" fillId="0" borderId="67" xfId="10" applyNumberFormat="1" applyFont="1" applyBorder="1" applyAlignment="1">
      <alignment horizontal="center" vertical="center" wrapText="1"/>
    </xf>
    <xf numFmtId="0" fontId="9" fillId="0" borderId="68" xfId="10" applyBorder="1" applyAlignment="1">
      <alignment vertical="center" wrapText="1"/>
    </xf>
    <xf numFmtId="1" fontId="20" fillId="0" borderId="69" xfId="10" applyNumberFormat="1" applyFont="1" applyBorder="1" applyAlignment="1">
      <alignment horizontal="center" vertical="center" wrapText="1"/>
    </xf>
    <xf numFmtId="174" fontId="20" fillId="0" borderId="70" xfId="10" applyNumberFormat="1" applyFont="1" applyBorder="1" applyAlignment="1">
      <alignment horizontal="center" vertical="center" wrapText="1"/>
    </xf>
    <xf numFmtId="0" fontId="21" fillId="15" borderId="84" xfId="10" applyFont="1" applyFill="1" applyBorder="1" applyAlignment="1">
      <alignment horizontal="center" vertical="center" wrapText="1"/>
    </xf>
    <xf numFmtId="0" fontId="21" fillId="15" borderId="78" xfId="10" applyFont="1" applyFill="1" applyBorder="1" applyAlignment="1">
      <alignment horizontal="center" vertical="center" wrapText="1"/>
    </xf>
    <xf numFmtId="174" fontId="21" fillId="15" borderId="85" xfId="10" applyNumberFormat="1" applyFont="1" applyFill="1" applyBorder="1" applyAlignment="1">
      <alignment horizontal="center" vertical="center" wrapText="1"/>
    </xf>
    <xf numFmtId="0" fontId="9" fillId="16" borderId="66" xfId="10" applyFill="1" applyBorder="1" applyAlignment="1">
      <alignment vertical="center" wrapText="1"/>
    </xf>
    <xf numFmtId="1" fontId="20" fillId="16" borderId="62" xfId="10" applyNumberFormat="1" applyFont="1" applyFill="1" applyBorder="1" applyAlignment="1">
      <alignment horizontal="center" vertical="center" wrapText="1"/>
    </xf>
    <xf numFmtId="174" fontId="20" fillId="16" borderId="67" xfId="10" applyNumberFormat="1" applyFont="1" applyFill="1" applyBorder="1" applyAlignment="1">
      <alignment horizontal="center" vertical="center" wrapText="1"/>
    </xf>
    <xf numFmtId="0" fontId="0" fillId="0" borderId="66" xfId="0" applyFill="1" applyBorder="1" applyAlignment="1">
      <alignment horizontal="left" vertical="center" wrapText="1"/>
    </xf>
    <xf numFmtId="1" fontId="19" fillId="0" borderId="62" xfId="0" applyNumberFormat="1" applyFont="1" applyFill="1" applyBorder="1" applyAlignment="1">
      <alignment horizontal="center" vertical="center" wrapText="1"/>
    </xf>
    <xf numFmtId="174" fontId="19" fillId="0" borderId="67" xfId="0" applyNumberFormat="1" applyFont="1" applyFill="1" applyBorder="1" applyAlignment="1">
      <alignment horizontal="center" vertical="center" wrapText="1"/>
    </xf>
    <xf numFmtId="0" fontId="22" fillId="5" borderId="66" xfId="0" applyFont="1" applyFill="1" applyBorder="1" applyAlignment="1">
      <alignment horizontal="left" vertical="center" wrapText="1"/>
    </xf>
    <xf numFmtId="1" fontId="23" fillId="5" borderId="62" xfId="0" applyNumberFormat="1" applyFont="1" applyFill="1" applyBorder="1" applyAlignment="1">
      <alignment horizontal="center" vertical="center" wrapText="1"/>
    </xf>
    <xf numFmtId="174" fontId="23" fillId="5" borderId="67" xfId="0" applyNumberFormat="1" applyFont="1" applyFill="1" applyBorder="1" applyAlignment="1">
      <alignment horizontal="center" vertical="center" wrapText="1"/>
    </xf>
    <xf numFmtId="0" fontId="7" fillId="3" borderId="30" xfId="0" applyFont="1" applyFill="1" applyBorder="1" applyAlignment="1">
      <alignment horizontal="left"/>
    </xf>
    <xf numFmtId="0" fontId="7" fillId="3" borderId="28" xfId="0" applyFont="1" applyFill="1" applyBorder="1" applyAlignment="1">
      <alignment horizontal="left"/>
    </xf>
    <xf numFmtId="0" fontId="7" fillId="3" borderId="30" xfId="0" applyFont="1" applyFill="1" applyBorder="1" applyAlignment="1">
      <alignment horizontal="center"/>
    </xf>
    <xf numFmtId="0" fontId="7" fillId="3" borderId="28" xfId="0" applyFont="1" applyFill="1" applyBorder="1" applyAlignment="1">
      <alignment horizontal="center"/>
    </xf>
    <xf numFmtId="0" fontId="9" fillId="2" borderId="0" xfId="0" applyFont="1" applyFill="1" applyAlignment="1">
      <alignment horizontal="left" wrapText="1"/>
    </xf>
    <xf numFmtId="0" fontId="9" fillId="2" borderId="0" xfId="0" applyFont="1" applyFill="1" applyAlignment="1">
      <alignment horizontal="center"/>
    </xf>
    <xf numFmtId="0" fontId="9" fillId="2" borderId="0" xfId="0" applyFont="1" applyFill="1" applyAlignment="1">
      <alignment horizontal="left" vertical="top" wrapText="1"/>
    </xf>
    <xf numFmtId="0" fontId="3" fillId="6" borderId="30" xfId="0" applyFont="1" applyFill="1" applyBorder="1" applyAlignment="1">
      <alignment horizontal="left"/>
    </xf>
    <xf numFmtId="0" fontId="3" fillId="6" borderId="28" xfId="0" applyFont="1" applyFill="1" applyBorder="1" applyAlignment="1">
      <alignment horizontal="left"/>
    </xf>
    <xf numFmtId="0" fontId="3" fillId="6" borderId="29" xfId="0" applyFont="1" applyFill="1" applyBorder="1" applyAlignment="1">
      <alignment horizontal="left"/>
    </xf>
    <xf numFmtId="0" fontId="2" fillId="3" borderId="30" xfId="0" applyFont="1" applyFill="1" applyBorder="1" applyAlignment="1">
      <alignment horizontal="left"/>
    </xf>
    <xf numFmtId="0" fontId="2" fillId="3" borderId="28" xfId="0" applyFont="1" applyFill="1" applyBorder="1" applyAlignment="1">
      <alignment horizontal="left"/>
    </xf>
    <xf numFmtId="0" fontId="15" fillId="14" borderId="30" xfId="10" applyFont="1" applyFill="1" applyBorder="1" applyAlignment="1">
      <alignment horizontal="center" vertical="center"/>
    </xf>
    <xf numFmtId="0" fontId="15" fillId="14" borderId="28" xfId="10" applyFont="1" applyFill="1" applyBorder="1" applyAlignment="1">
      <alignment horizontal="center" vertical="center"/>
    </xf>
    <xf numFmtId="0" fontId="15" fillId="14" borderId="29" xfId="10" applyFont="1" applyFill="1" applyBorder="1" applyAlignment="1">
      <alignment horizontal="center" vertical="center"/>
    </xf>
    <xf numFmtId="0" fontId="7" fillId="5" borderId="30" xfId="0" applyFont="1" applyFill="1" applyBorder="1" applyAlignment="1">
      <alignment horizontal="left" vertical="center"/>
    </xf>
    <xf numFmtId="0" fontId="7" fillId="5" borderId="28" xfId="0" applyFont="1" applyFill="1" applyBorder="1" applyAlignment="1">
      <alignment horizontal="left" vertical="center"/>
    </xf>
    <xf numFmtId="172" fontId="3" fillId="9" borderId="30" xfId="0" applyNumberFormat="1" applyFont="1" applyFill="1" applyBorder="1" applyAlignment="1">
      <alignment horizontal="center"/>
    </xf>
    <xf numFmtId="172" fontId="3" fillId="9" borderId="29" xfId="0" applyNumberFormat="1" applyFont="1" applyFill="1" applyBorder="1" applyAlignment="1">
      <alignment horizontal="center"/>
    </xf>
    <xf numFmtId="0" fontId="9" fillId="2" borderId="33" xfId="0" applyFont="1" applyFill="1" applyBorder="1" applyAlignment="1">
      <alignment horizontal="center"/>
    </xf>
    <xf numFmtId="0" fontId="9" fillId="2" borderId="25" xfId="0" applyFont="1" applyFill="1" applyBorder="1" applyAlignment="1">
      <alignment horizontal="center"/>
    </xf>
    <xf numFmtId="0" fontId="9" fillId="2" borderId="34" xfId="0" applyFont="1" applyFill="1" applyBorder="1" applyAlignment="1">
      <alignment horizontal="center"/>
    </xf>
    <xf numFmtId="0" fontId="2" fillId="8" borderId="58" xfId="0" applyFont="1" applyFill="1" applyBorder="1" applyAlignment="1">
      <alignment horizontal="center"/>
    </xf>
    <xf numFmtId="0" fontId="2" fillId="8" borderId="59" xfId="0" applyFont="1" applyFill="1" applyBorder="1" applyAlignment="1">
      <alignment horizontal="center"/>
    </xf>
    <xf numFmtId="0" fontId="2" fillId="8" borderId="60" xfId="0" applyFont="1" applyFill="1" applyBorder="1" applyAlignment="1">
      <alignment horizontal="center"/>
    </xf>
    <xf numFmtId="0" fontId="9" fillId="2" borderId="0" xfId="0" applyFont="1" applyFill="1" applyAlignment="1">
      <alignment horizontal="center" wrapText="1"/>
    </xf>
    <xf numFmtId="0" fontId="3" fillId="3" borderId="30" xfId="0" applyFont="1" applyFill="1" applyBorder="1" applyAlignment="1">
      <alignment horizontal="left"/>
    </xf>
    <xf numFmtId="0" fontId="3" fillId="3" borderId="28" xfId="0" applyFont="1" applyFill="1" applyBorder="1" applyAlignment="1">
      <alignment horizontal="left"/>
    </xf>
    <xf numFmtId="0" fontId="3" fillId="3" borderId="29" xfId="0" applyFont="1" applyFill="1" applyBorder="1" applyAlignment="1">
      <alignment horizontal="left"/>
    </xf>
    <xf numFmtId="7" fontId="9" fillId="2" borderId="20" xfId="0" applyNumberFormat="1" applyFont="1" applyFill="1" applyBorder="1" applyAlignment="1">
      <alignment horizontal="center"/>
    </xf>
    <xf numFmtId="7" fontId="9" fillId="2" borderId="18" xfId="0" applyNumberFormat="1" applyFont="1" applyFill="1" applyBorder="1" applyAlignment="1">
      <alignment horizontal="center"/>
    </xf>
    <xf numFmtId="7" fontId="9" fillId="2" borderId="21" xfId="0" applyNumberFormat="1" applyFont="1" applyFill="1" applyBorder="1" applyAlignment="1">
      <alignment horizontal="center"/>
    </xf>
    <xf numFmtId="7" fontId="9" fillId="2" borderId="23" xfId="0" applyNumberFormat="1" applyFont="1" applyFill="1" applyBorder="1" applyAlignment="1">
      <alignment horizontal="center"/>
    </xf>
    <xf numFmtId="0" fontId="3" fillId="6" borderId="30" xfId="0" applyFont="1" applyFill="1" applyBorder="1" applyAlignment="1">
      <alignment horizontal="center"/>
    </xf>
    <xf numFmtId="0" fontId="3" fillId="6" borderId="29" xfId="0" applyFont="1" applyFill="1" applyBorder="1" applyAlignment="1">
      <alignment horizontal="center"/>
    </xf>
    <xf numFmtId="0" fontId="9" fillId="2" borderId="31" xfId="0" applyFont="1" applyFill="1" applyBorder="1" applyAlignment="1">
      <alignment horizontal="center"/>
    </xf>
    <xf numFmtId="0" fontId="9" fillId="2" borderId="32" xfId="0" applyFont="1" applyFill="1" applyBorder="1" applyAlignment="1">
      <alignment horizontal="center"/>
    </xf>
    <xf numFmtId="0" fontId="9" fillId="2" borderId="20" xfId="0" applyFont="1" applyFill="1" applyBorder="1" applyAlignment="1">
      <alignment horizontal="center"/>
    </xf>
    <xf numFmtId="0" fontId="9" fillId="2" borderId="18" xfId="0" applyFont="1" applyFill="1" applyBorder="1" applyAlignment="1">
      <alignment horizontal="center"/>
    </xf>
    <xf numFmtId="0" fontId="9" fillId="2" borderId="21" xfId="0" applyFont="1" applyFill="1" applyBorder="1" applyAlignment="1">
      <alignment horizontal="center"/>
    </xf>
    <xf numFmtId="0" fontId="9" fillId="2" borderId="23" xfId="0" applyFont="1" applyFill="1" applyBorder="1" applyAlignment="1">
      <alignment horizontal="center"/>
    </xf>
    <xf numFmtId="0" fontId="2" fillId="5" borderId="30" xfId="0" applyFont="1" applyFill="1" applyBorder="1" applyAlignment="1">
      <alignment horizontal="left"/>
    </xf>
    <xf numFmtId="0" fontId="2" fillId="5" borderId="28" xfId="0" applyFont="1" applyFill="1" applyBorder="1" applyAlignment="1">
      <alignment horizontal="left"/>
    </xf>
  </cellXfs>
  <cellStyles count="11">
    <cellStyle name="Comma0" xfId="1" xr:uid="{00000000-0005-0000-0000-000000000000}"/>
    <cellStyle name="Currency" xfId="2" builtinId="4"/>
    <cellStyle name="Currency0" xfId="3" xr:uid="{00000000-0005-0000-0000-000002000000}"/>
    <cellStyle name="Date" xfId="4" xr:uid="{00000000-0005-0000-0000-000003000000}"/>
    <cellStyle name="Fixed" xfId="5" xr:uid="{00000000-0005-0000-0000-000004000000}"/>
    <cellStyle name="Heading 1" xfId="6" builtinId="16" customBuiltin="1"/>
    <cellStyle name="Heading 2" xfId="7" builtinId="17" customBuiltin="1"/>
    <cellStyle name="Normal" xfId="0" builtinId="0"/>
    <cellStyle name="Normal 2" xfId="9" xr:uid="{00000000-0005-0000-0000-000008000000}"/>
    <cellStyle name="Normal 3" xfId="10" xr:uid="{C3E30B42-9515-416A-8E9F-F3EF0F216390}"/>
    <cellStyle name="Total" xfId="8" builtinId="25"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K26"/>
  <sheetViews>
    <sheetView showGridLines="0" showZeros="0" tabSelected="1" view="pageLayout" zoomScaleNormal="120" workbookViewId="0">
      <selection activeCell="B31" sqref="B31"/>
    </sheetView>
  </sheetViews>
  <sheetFormatPr defaultColWidth="11.54296875" defaultRowHeight="15" customHeight="1" x14ac:dyDescent="0.3"/>
  <cols>
    <col min="1" max="1" width="3.7265625" style="15" customWidth="1"/>
    <col min="2" max="2" width="11.54296875" style="21"/>
    <col min="3" max="3" width="11.54296875" style="20"/>
    <col min="4" max="11" width="11.54296875" style="19"/>
    <col min="12" max="12" width="3.7265625" style="15" customWidth="1"/>
    <col min="13" max="16384" width="11.54296875" style="15"/>
  </cols>
  <sheetData>
    <row r="1" spans="2:11" ht="15" customHeight="1" thickBot="1" x14ac:dyDescent="0.35">
      <c r="B1" s="2"/>
      <c r="C1" s="15"/>
      <c r="D1" s="15"/>
      <c r="E1" s="15"/>
      <c r="F1" s="15"/>
      <c r="G1" s="15"/>
      <c r="H1" s="15"/>
      <c r="I1" s="15"/>
      <c r="J1" s="15"/>
      <c r="K1" s="15"/>
    </row>
    <row r="2" spans="2:11" s="6" customFormat="1" ht="20.149999999999999" customHeight="1" thickBot="1" x14ac:dyDescent="0.4">
      <c r="B2" s="526" t="s">
        <v>288</v>
      </c>
      <c r="C2" s="527"/>
      <c r="D2" s="527"/>
      <c r="E2" s="527"/>
      <c r="F2" s="527"/>
      <c r="G2" s="527"/>
      <c r="H2" s="527"/>
      <c r="I2" s="527"/>
      <c r="J2" s="527"/>
      <c r="K2" s="270" t="str">
        <f>ACCUM!A3</f>
        <v>FY'23</v>
      </c>
    </row>
    <row r="3" spans="2:11" ht="15" customHeight="1" thickBot="1" x14ac:dyDescent="0.35">
      <c r="B3" s="2"/>
      <c r="C3" s="15"/>
      <c r="D3" s="15"/>
      <c r="E3" s="15"/>
      <c r="F3" s="15"/>
      <c r="G3" s="15"/>
      <c r="H3" s="15"/>
      <c r="I3" s="15"/>
      <c r="J3" s="15"/>
      <c r="K3" s="15"/>
    </row>
    <row r="4" spans="2:11" s="340" customFormat="1" ht="15" customHeight="1" thickBot="1" x14ac:dyDescent="0.3">
      <c r="B4" s="339" t="s">
        <v>82</v>
      </c>
      <c r="C4" s="413" t="s">
        <v>36</v>
      </c>
      <c r="D4" s="410" t="s">
        <v>37</v>
      </c>
      <c r="E4" s="411" t="s">
        <v>38</v>
      </c>
      <c r="F4" s="411" t="s">
        <v>69</v>
      </c>
      <c r="G4" s="411" t="s">
        <v>70</v>
      </c>
      <c r="H4" s="411" t="s">
        <v>71</v>
      </c>
      <c r="I4" s="411" t="s">
        <v>72</v>
      </c>
      <c r="J4" s="411" t="s">
        <v>50</v>
      </c>
      <c r="K4" s="412" t="s">
        <v>248</v>
      </c>
    </row>
    <row r="5" spans="2:11" ht="15" customHeight="1" x14ac:dyDescent="0.25">
      <c r="B5" s="400">
        <v>1</v>
      </c>
      <c r="C5" s="422">
        <v>43911</v>
      </c>
      <c r="D5" s="405">
        <v>43911</v>
      </c>
      <c r="E5" s="405">
        <v>43911</v>
      </c>
      <c r="F5" s="405">
        <v>48301</v>
      </c>
      <c r="G5" s="405">
        <v>48301</v>
      </c>
      <c r="H5" s="405">
        <v>48301</v>
      </c>
      <c r="I5" s="405">
        <v>48301</v>
      </c>
      <c r="J5" s="405">
        <v>48301</v>
      </c>
      <c r="K5" s="406">
        <v>48301</v>
      </c>
    </row>
    <row r="6" spans="2:11" ht="15" customHeight="1" x14ac:dyDescent="0.25">
      <c r="B6" s="400">
        <v>2</v>
      </c>
      <c r="C6" s="415">
        <v>46106</v>
      </c>
      <c r="D6" s="404">
        <v>46983</v>
      </c>
      <c r="E6" s="404">
        <v>48301</v>
      </c>
      <c r="F6" s="404">
        <v>50497</v>
      </c>
      <c r="G6" s="404">
        <v>50936</v>
      </c>
      <c r="H6" s="404">
        <v>50936</v>
      </c>
      <c r="I6" s="404">
        <v>50936</v>
      </c>
      <c r="J6" s="404">
        <v>50936</v>
      </c>
      <c r="K6" s="407">
        <v>50936</v>
      </c>
    </row>
    <row r="7" spans="2:11" ht="15" customHeight="1" x14ac:dyDescent="0.25">
      <c r="B7" s="400">
        <v>3</v>
      </c>
      <c r="C7" s="415">
        <v>48301</v>
      </c>
      <c r="D7" s="404">
        <v>49180</v>
      </c>
      <c r="E7" s="404">
        <v>50497</v>
      </c>
      <c r="F7" s="404">
        <v>52693</v>
      </c>
      <c r="G7" s="404">
        <v>53130</v>
      </c>
      <c r="H7" s="404">
        <v>53570</v>
      </c>
      <c r="I7" s="404">
        <v>53570</v>
      </c>
      <c r="J7" s="404">
        <v>53570</v>
      </c>
      <c r="K7" s="407">
        <v>53570</v>
      </c>
    </row>
    <row r="8" spans="2:11" ht="15" customHeight="1" x14ac:dyDescent="0.25">
      <c r="B8" s="400">
        <v>4</v>
      </c>
      <c r="C8" s="415">
        <v>50497</v>
      </c>
      <c r="D8" s="404">
        <v>51374</v>
      </c>
      <c r="E8" s="404">
        <v>52693</v>
      </c>
      <c r="F8" s="404">
        <v>54888</v>
      </c>
      <c r="G8" s="404">
        <v>55327</v>
      </c>
      <c r="H8" s="404">
        <v>55766</v>
      </c>
      <c r="I8" s="404">
        <v>57082</v>
      </c>
      <c r="J8" s="404">
        <v>57961</v>
      </c>
      <c r="K8" s="407">
        <v>57961</v>
      </c>
    </row>
    <row r="9" spans="2:11" ht="15" customHeight="1" x14ac:dyDescent="0.25">
      <c r="B9" s="400">
        <v>5</v>
      </c>
      <c r="C9" s="415">
        <v>52693</v>
      </c>
      <c r="D9" s="404">
        <v>53570</v>
      </c>
      <c r="E9" s="404">
        <v>54888</v>
      </c>
      <c r="F9" s="404">
        <v>57082</v>
      </c>
      <c r="G9" s="404">
        <v>57521</v>
      </c>
      <c r="H9" s="404">
        <v>57961</v>
      </c>
      <c r="I9" s="404">
        <v>59279</v>
      </c>
      <c r="J9" s="404">
        <v>60157</v>
      </c>
      <c r="K9" s="407">
        <v>61473</v>
      </c>
    </row>
    <row r="10" spans="2:11" ht="15" customHeight="1" x14ac:dyDescent="0.25">
      <c r="B10" s="400">
        <v>6</v>
      </c>
      <c r="C10" s="415">
        <v>54888</v>
      </c>
      <c r="D10" s="404">
        <v>55766</v>
      </c>
      <c r="E10" s="404">
        <v>57082</v>
      </c>
      <c r="F10" s="404">
        <v>59279</v>
      </c>
      <c r="G10" s="404">
        <v>59718</v>
      </c>
      <c r="H10" s="404">
        <v>60157</v>
      </c>
      <c r="I10" s="404">
        <v>61473</v>
      </c>
      <c r="J10" s="404">
        <v>62352</v>
      </c>
      <c r="K10" s="407">
        <v>63670</v>
      </c>
    </row>
    <row r="11" spans="2:11" ht="15" customHeight="1" x14ac:dyDescent="0.25">
      <c r="B11" s="400">
        <v>7</v>
      </c>
      <c r="C11" s="415">
        <v>56644</v>
      </c>
      <c r="D11" s="404">
        <v>57521</v>
      </c>
      <c r="E11" s="404">
        <v>58840</v>
      </c>
      <c r="F11" s="404">
        <v>61473</v>
      </c>
      <c r="G11" s="404">
        <v>61912</v>
      </c>
      <c r="H11" s="404">
        <v>62352</v>
      </c>
      <c r="I11" s="404">
        <v>63670</v>
      </c>
      <c r="J11" s="404">
        <v>64548</v>
      </c>
      <c r="K11" s="407">
        <v>65865</v>
      </c>
    </row>
    <row r="12" spans="2:11" ht="15" customHeight="1" x14ac:dyDescent="0.25">
      <c r="B12" s="400">
        <v>8</v>
      </c>
      <c r="C12" s="415">
        <v>57961</v>
      </c>
      <c r="D12" s="404">
        <v>59279</v>
      </c>
      <c r="E12" s="404">
        <v>60596</v>
      </c>
      <c r="F12" s="404">
        <v>63670</v>
      </c>
      <c r="G12" s="404">
        <v>64108</v>
      </c>
      <c r="H12" s="404">
        <v>64548</v>
      </c>
      <c r="I12" s="404">
        <v>65865</v>
      </c>
      <c r="J12" s="404">
        <v>66742</v>
      </c>
      <c r="K12" s="407">
        <v>68062</v>
      </c>
    </row>
    <row r="13" spans="2:11" ht="15" customHeight="1" x14ac:dyDescent="0.25">
      <c r="B13" s="400">
        <v>9</v>
      </c>
      <c r="C13" s="415">
        <v>59279</v>
      </c>
      <c r="D13" s="404">
        <v>60596</v>
      </c>
      <c r="E13" s="404">
        <v>62352</v>
      </c>
      <c r="F13" s="404">
        <v>65426</v>
      </c>
      <c r="G13" s="404">
        <v>65865</v>
      </c>
      <c r="H13" s="404">
        <v>66742</v>
      </c>
      <c r="I13" s="404">
        <v>68062</v>
      </c>
      <c r="J13" s="404">
        <v>68938</v>
      </c>
      <c r="K13" s="407">
        <v>70256</v>
      </c>
    </row>
    <row r="14" spans="2:11" ht="15" customHeight="1" x14ac:dyDescent="0.25">
      <c r="B14" s="400">
        <v>10</v>
      </c>
      <c r="C14" s="415">
        <v>60596</v>
      </c>
      <c r="D14" s="404">
        <v>61912</v>
      </c>
      <c r="E14" s="404">
        <v>63670</v>
      </c>
      <c r="F14" s="404">
        <v>67183</v>
      </c>
      <c r="G14" s="404">
        <v>67622</v>
      </c>
      <c r="H14" s="404">
        <v>68500</v>
      </c>
      <c r="I14" s="404">
        <v>70256</v>
      </c>
      <c r="J14" s="404">
        <v>71134</v>
      </c>
      <c r="K14" s="407">
        <v>72453</v>
      </c>
    </row>
    <row r="15" spans="2:11" ht="15" customHeight="1" x14ac:dyDescent="0.25">
      <c r="B15" s="400">
        <v>11</v>
      </c>
      <c r="C15" s="415">
        <v>61912</v>
      </c>
      <c r="D15" s="404">
        <v>63231</v>
      </c>
      <c r="E15" s="404">
        <v>64988</v>
      </c>
      <c r="F15" s="404">
        <v>68500</v>
      </c>
      <c r="G15" s="404">
        <v>69377</v>
      </c>
      <c r="H15" s="404">
        <v>70256</v>
      </c>
      <c r="I15" s="404">
        <v>72014</v>
      </c>
      <c r="J15" s="404">
        <v>73329</v>
      </c>
      <c r="K15" s="407">
        <v>74648</v>
      </c>
    </row>
    <row r="16" spans="2:11" ht="15" customHeight="1" x14ac:dyDescent="0.25">
      <c r="B16" s="400">
        <v>12</v>
      </c>
      <c r="C16" s="415">
        <v>63231</v>
      </c>
      <c r="D16" s="404">
        <v>64548</v>
      </c>
      <c r="E16" s="404">
        <v>66303</v>
      </c>
      <c r="F16" s="404">
        <v>69817</v>
      </c>
      <c r="G16" s="404">
        <v>70694</v>
      </c>
      <c r="H16" s="404">
        <v>72014</v>
      </c>
      <c r="I16" s="404">
        <v>73768</v>
      </c>
      <c r="J16" s="404">
        <v>75086</v>
      </c>
      <c r="K16" s="407">
        <v>76844</v>
      </c>
    </row>
    <row r="17" spans="2:11" ht="15" customHeight="1" x14ac:dyDescent="0.25">
      <c r="B17" s="400">
        <v>13</v>
      </c>
      <c r="C17" s="415">
        <v>64108</v>
      </c>
      <c r="D17" s="404">
        <v>65426</v>
      </c>
      <c r="E17" s="404">
        <v>67622</v>
      </c>
      <c r="F17" s="404">
        <v>71134</v>
      </c>
      <c r="G17" s="404">
        <v>72014</v>
      </c>
      <c r="H17" s="404">
        <v>73768</v>
      </c>
      <c r="I17" s="404">
        <v>75525</v>
      </c>
      <c r="J17" s="404">
        <v>76844</v>
      </c>
      <c r="K17" s="407">
        <v>79038</v>
      </c>
    </row>
    <row r="18" spans="2:11" ht="15" customHeight="1" x14ac:dyDescent="0.25">
      <c r="B18" s="400">
        <v>14</v>
      </c>
      <c r="C18" s="415">
        <v>64988</v>
      </c>
      <c r="D18" s="404">
        <v>66303</v>
      </c>
      <c r="E18" s="404">
        <v>68938</v>
      </c>
      <c r="F18" s="404">
        <v>72453</v>
      </c>
      <c r="G18" s="404">
        <v>73329</v>
      </c>
      <c r="H18" s="404">
        <v>75086</v>
      </c>
      <c r="I18" s="404">
        <v>77281</v>
      </c>
      <c r="J18" s="404">
        <v>78599</v>
      </c>
      <c r="K18" s="407">
        <v>81234</v>
      </c>
    </row>
    <row r="19" spans="2:11" ht="15" customHeight="1" x14ac:dyDescent="0.25">
      <c r="B19" s="400">
        <v>15</v>
      </c>
      <c r="C19" s="415">
        <v>65865</v>
      </c>
      <c r="D19" s="404">
        <v>67183</v>
      </c>
      <c r="E19" s="404">
        <v>69817</v>
      </c>
      <c r="F19" s="404">
        <v>73768</v>
      </c>
      <c r="G19" s="404">
        <v>74648</v>
      </c>
      <c r="H19" s="404">
        <v>76404</v>
      </c>
      <c r="I19" s="404">
        <v>79038</v>
      </c>
      <c r="J19" s="404">
        <v>80355</v>
      </c>
      <c r="K19" s="407">
        <v>83429</v>
      </c>
    </row>
    <row r="20" spans="2:11" ht="15" customHeight="1" x14ac:dyDescent="0.25">
      <c r="B20" s="400">
        <v>16</v>
      </c>
      <c r="C20" s="415">
        <v>65865</v>
      </c>
      <c r="D20" s="404">
        <v>67183</v>
      </c>
      <c r="E20" s="404">
        <v>69817</v>
      </c>
      <c r="F20" s="404">
        <v>73768</v>
      </c>
      <c r="G20" s="404">
        <v>74648</v>
      </c>
      <c r="H20" s="404">
        <v>76404</v>
      </c>
      <c r="I20" s="404">
        <v>79038</v>
      </c>
      <c r="J20" s="404">
        <v>80355</v>
      </c>
      <c r="K20" s="407">
        <v>83429</v>
      </c>
    </row>
    <row r="21" spans="2:11" ht="15" customHeight="1" x14ac:dyDescent="0.25">
      <c r="B21" s="400">
        <v>17</v>
      </c>
      <c r="C21" s="415">
        <v>65865</v>
      </c>
      <c r="D21" s="404">
        <v>67183</v>
      </c>
      <c r="E21" s="404">
        <v>69817</v>
      </c>
      <c r="F21" s="404">
        <v>73768</v>
      </c>
      <c r="G21" s="404">
        <v>74648</v>
      </c>
      <c r="H21" s="404">
        <v>76404</v>
      </c>
      <c r="I21" s="404">
        <v>79038</v>
      </c>
      <c r="J21" s="404">
        <v>80355</v>
      </c>
      <c r="K21" s="407">
        <v>83429</v>
      </c>
    </row>
    <row r="22" spans="2:11" ht="15" customHeight="1" x14ac:dyDescent="0.25">
      <c r="B22" s="400">
        <v>18</v>
      </c>
      <c r="C22" s="415">
        <v>65865</v>
      </c>
      <c r="D22" s="404">
        <v>67183</v>
      </c>
      <c r="E22" s="404">
        <v>69817</v>
      </c>
      <c r="F22" s="404">
        <v>73768</v>
      </c>
      <c r="G22" s="404">
        <v>74648</v>
      </c>
      <c r="H22" s="404">
        <v>76404</v>
      </c>
      <c r="I22" s="404">
        <v>79038</v>
      </c>
      <c r="J22" s="404">
        <v>80355</v>
      </c>
      <c r="K22" s="407">
        <v>83429</v>
      </c>
    </row>
    <row r="23" spans="2:11" ht="15" customHeight="1" x14ac:dyDescent="0.25">
      <c r="B23" s="400">
        <v>19</v>
      </c>
      <c r="C23" s="415">
        <v>65865</v>
      </c>
      <c r="D23" s="404">
        <v>67183</v>
      </c>
      <c r="E23" s="404">
        <v>69817</v>
      </c>
      <c r="F23" s="404">
        <v>73768</v>
      </c>
      <c r="G23" s="404">
        <v>74648</v>
      </c>
      <c r="H23" s="404">
        <v>76404</v>
      </c>
      <c r="I23" s="404">
        <v>79038</v>
      </c>
      <c r="J23" s="404">
        <v>80355</v>
      </c>
      <c r="K23" s="407">
        <v>83429</v>
      </c>
    </row>
    <row r="24" spans="2:11" ht="15" customHeight="1" thickBot="1" x14ac:dyDescent="0.3">
      <c r="B24" s="401">
        <v>20</v>
      </c>
      <c r="C24" s="416">
        <v>67622</v>
      </c>
      <c r="D24" s="408">
        <v>68938</v>
      </c>
      <c r="E24" s="408">
        <v>71573</v>
      </c>
      <c r="F24" s="408">
        <v>75525</v>
      </c>
      <c r="G24" s="408">
        <v>76404</v>
      </c>
      <c r="H24" s="408">
        <v>78160</v>
      </c>
      <c r="I24" s="408">
        <v>80794</v>
      </c>
      <c r="J24" s="408">
        <v>82112</v>
      </c>
      <c r="K24" s="409">
        <v>85185</v>
      </c>
    </row>
    <row r="25" spans="2:11" ht="15" customHeight="1" x14ac:dyDescent="0.25">
      <c r="B25" s="20"/>
      <c r="C25" s="112"/>
      <c r="D25" s="112"/>
      <c r="E25" s="112"/>
      <c r="F25" s="112"/>
      <c r="G25" s="112"/>
      <c r="H25" s="112"/>
      <c r="I25" s="112"/>
      <c r="J25" s="112"/>
      <c r="K25" s="112"/>
    </row>
    <row r="26" spans="2:11" ht="15" customHeight="1" x14ac:dyDescent="0.3">
      <c r="K26" s="13"/>
    </row>
  </sheetData>
  <mergeCells count="1">
    <mergeCell ref="B2:J2"/>
  </mergeCells>
  <phoneticPr fontId="5" type="noConversion"/>
  <printOptions horizontalCentered="1"/>
  <pageMargins left="0.7" right="0.7" top="0.75" bottom="0.75" header="0.3" footer="0.3"/>
  <pageSetup orientation="landscape" r:id="rId1"/>
  <headerFooter alignWithMargins="0">
    <oddFooter>&amp;L&amp;"Arial,Bold"&amp;F&amp;C&amp;"Arial,Bold"&amp;D &amp;R&amp;"Arial,Bold"Appendix C-1</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5038D-8060-47F0-AF0A-678707BEE970}">
  <sheetPr codeName="Sheet30"/>
  <dimension ref="A1:J30"/>
  <sheetViews>
    <sheetView showGridLines="0" showZeros="0" view="pageLayout" zoomScaleNormal="120" workbookViewId="0">
      <selection activeCell="F23" sqref="F23"/>
    </sheetView>
  </sheetViews>
  <sheetFormatPr defaultColWidth="11.453125" defaultRowHeight="15" customHeight="1" x14ac:dyDescent="0.3"/>
  <cols>
    <col min="1" max="2" width="3.7265625" style="15" customWidth="1"/>
    <col min="3" max="3" width="12.453125" style="21" customWidth="1"/>
    <col min="4" max="4" width="12.453125" style="20" customWidth="1"/>
    <col min="5" max="8" width="12.453125" style="19" customWidth="1"/>
    <col min="9" max="9" width="7.26953125" style="19" customWidth="1"/>
    <col min="10" max="10" width="11.453125" style="19"/>
    <col min="11" max="11" width="3.7265625" style="15" customWidth="1"/>
    <col min="12" max="16384" width="11.453125" style="15"/>
  </cols>
  <sheetData>
    <row r="1" spans="1:10" ht="15" customHeight="1" thickBot="1" x14ac:dyDescent="0.35">
      <c r="C1" s="2"/>
      <c r="D1" s="15"/>
      <c r="E1" s="15"/>
      <c r="F1" s="15"/>
      <c r="G1" s="15"/>
      <c r="H1" s="15"/>
      <c r="I1" s="15"/>
      <c r="J1" s="15"/>
    </row>
    <row r="2" spans="1:10" s="6" customFormat="1" ht="20.149999999999999" customHeight="1" thickBot="1" x14ac:dyDescent="0.4">
      <c r="A2" s="528" t="s">
        <v>276</v>
      </c>
      <c r="B2" s="529"/>
      <c r="C2" s="529"/>
      <c r="D2" s="529"/>
      <c r="E2" s="529"/>
      <c r="F2" s="529"/>
      <c r="G2" s="529"/>
      <c r="H2" s="529"/>
      <c r="I2" s="327" t="str">
        <f>ACCUM!A3</f>
        <v>FY'23</v>
      </c>
      <c r="J2" s="98"/>
    </row>
    <row r="3" spans="1:10" ht="15" customHeight="1" thickBot="1" x14ac:dyDescent="0.35">
      <c r="C3" s="2"/>
      <c r="D3" s="15"/>
      <c r="E3" s="15"/>
      <c r="F3" s="15"/>
      <c r="G3" s="15"/>
      <c r="H3" s="15"/>
      <c r="I3" s="15"/>
      <c r="J3" s="15"/>
    </row>
    <row r="4" spans="1:10" s="340" customFormat="1" ht="15" customHeight="1" thickBot="1" x14ac:dyDescent="0.3">
      <c r="C4" s="339" t="s">
        <v>82</v>
      </c>
      <c r="D4" s="402" t="s">
        <v>36</v>
      </c>
      <c r="E4" s="402" t="s">
        <v>69</v>
      </c>
      <c r="F4" s="402" t="s">
        <v>72</v>
      </c>
      <c r="G4" s="413" t="s">
        <v>247</v>
      </c>
      <c r="H4" s="413" t="s">
        <v>248</v>
      </c>
      <c r="I4" s="342"/>
      <c r="J4" s="342"/>
    </row>
    <row r="5" spans="1:10" ht="15" customHeight="1" x14ac:dyDescent="0.25">
      <c r="C5" s="414" t="s">
        <v>246</v>
      </c>
      <c r="D5" s="422">
        <v>45441</v>
      </c>
      <c r="E5" s="405">
        <v>54134</v>
      </c>
      <c r="F5" s="405">
        <v>57033</v>
      </c>
      <c r="G5" s="405">
        <v>59351</v>
      </c>
      <c r="H5" s="406">
        <v>61669</v>
      </c>
      <c r="I5" s="112"/>
      <c r="J5" s="112"/>
    </row>
    <row r="6" spans="1:10" ht="15" customHeight="1" x14ac:dyDescent="0.25">
      <c r="C6" s="400">
        <v>1</v>
      </c>
      <c r="D6" s="415">
        <v>46484</v>
      </c>
      <c r="E6" s="404">
        <v>55177</v>
      </c>
      <c r="F6" s="404">
        <v>58076</v>
      </c>
      <c r="G6" s="404">
        <v>60394</v>
      </c>
      <c r="H6" s="407">
        <v>62712</v>
      </c>
      <c r="I6" s="112"/>
      <c r="J6" s="112"/>
    </row>
    <row r="7" spans="1:10" ht="15" customHeight="1" x14ac:dyDescent="0.25">
      <c r="C7" s="400">
        <v>2</v>
      </c>
      <c r="D7" s="415">
        <v>47527</v>
      </c>
      <c r="E7" s="404">
        <v>56220</v>
      </c>
      <c r="F7" s="404">
        <v>59119</v>
      </c>
      <c r="G7" s="404">
        <v>61437</v>
      </c>
      <c r="H7" s="407">
        <v>63755</v>
      </c>
      <c r="I7" s="112"/>
      <c r="J7" s="112"/>
    </row>
    <row r="8" spans="1:10" ht="15" customHeight="1" x14ac:dyDescent="0.25">
      <c r="C8" s="400">
        <v>3</v>
      </c>
      <c r="D8" s="415">
        <v>48570</v>
      </c>
      <c r="E8" s="404">
        <v>57264</v>
      </c>
      <c r="F8" s="404">
        <v>60162</v>
      </c>
      <c r="G8" s="404">
        <v>62480</v>
      </c>
      <c r="H8" s="407">
        <v>64799</v>
      </c>
      <c r="I8" s="112"/>
      <c r="J8" s="112"/>
    </row>
    <row r="9" spans="1:10" ht="15" customHeight="1" x14ac:dyDescent="0.25">
      <c r="C9" s="400">
        <v>4</v>
      </c>
      <c r="D9" s="415">
        <v>49613</v>
      </c>
      <c r="E9" s="404">
        <v>58308</v>
      </c>
      <c r="F9" s="404">
        <v>61205</v>
      </c>
      <c r="G9" s="404">
        <v>63523</v>
      </c>
      <c r="H9" s="407">
        <v>65842</v>
      </c>
      <c r="I9" s="112"/>
      <c r="J9" s="112"/>
    </row>
    <row r="10" spans="1:10" ht="15" customHeight="1" x14ac:dyDescent="0.25">
      <c r="C10" s="400">
        <v>5</v>
      </c>
      <c r="D10" s="415">
        <v>50656</v>
      </c>
      <c r="E10" s="404">
        <v>59351</v>
      </c>
      <c r="F10" s="404">
        <v>62248</v>
      </c>
      <c r="G10" s="404">
        <v>64567</v>
      </c>
      <c r="H10" s="407">
        <v>66886</v>
      </c>
      <c r="I10" s="112"/>
      <c r="J10" s="112"/>
    </row>
    <row r="11" spans="1:10" ht="15" customHeight="1" x14ac:dyDescent="0.25">
      <c r="C11" s="400">
        <v>6</v>
      </c>
      <c r="D11" s="415">
        <v>51699</v>
      </c>
      <c r="E11" s="404">
        <v>60394</v>
      </c>
      <c r="F11" s="404">
        <v>63292</v>
      </c>
      <c r="G11" s="404">
        <v>65610</v>
      </c>
      <c r="H11" s="407">
        <v>67929</v>
      </c>
      <c r="I11" s="277"/>
      <c r="J11" s="112"/>
    </row>
    <row r="12" spans="1:10" ht="15" customHeight="1" x14ac:dyDescent="0.25">
      <c r="C12" s="400">
        <v>7</v>
      </c>
      <c r="D12" s="415">
        <v>52744</v>
      </c>
      <c r="E12" s="404">
        <v>61437</v>
      </c>
      <c r="F12" s="404">
        <v>64335</v>
      </c>
      <c r="G12" s="404">
        <v>66654</v>
      </c>
      <c r="H12" s="407">
        <v>68972</v>
      </c>
      <c r="I12" s="112"/>
      <c r="J12" s="112"/>
    </row>
    <row r="13" spans="1:10" ht="15" customHeight="1" x14ac:dyDescent="0.25">
      <c r="C13" s="400">
        <v>8</v>
      </c>
      <c r="D13" s="415">
        <v>53438</v>
      </c>
      <c r="E13" s="404">
        <v>62480</v>
      </c>
      <c r="F13" s="404">
        <v>65379</v>
      </c>
      <c r="G13" s="404">
        <v>67697</v>
      </c>
      <c r="H13" s="407">
        <v>70015</v>
      </c>
      <c r="I13" s="112"/>
      <c r="J13" s="112"/>
    </row>
    <row r="14" spans="1:10" ht="15" customHeight="1" x14ac:dyDescent="0.25">
      <c r="C14" s="400">
        <v>9</v>
      </c>
      <c r="D14" s="415">
        <v>54830</v>
      </c>
      <c r="E14" s="404">
        <v>63523</v>
      </c>
      <c r="F14" s="404">
        <v>66422</v>
      </c>
      <c r="G14" s="404">
        <v>68740</v>
      </c>
      <c r="H14" s="407">
        <v>71058</v>
      </c>
      <c r="I14" s="112"/>
      <c r="J14" s="112"/>
    </row>
    <row r="15" spans="1:10" ht="15" customHeight="1" x14ac:dyDescent="0.25">
      <c r="C15" s="400">
        <v>10</v>
      </c>
      <c r="D15" s="415">
        <v>55873</v>
      </c>
      <c r="E15" s="404">
        <v>64567</v>
      </c>
      <c r="F15" s="404">
        <v>67465</v>
      </c>
      <c r="G15" s="404">
        <v>69783</v>
      </c>
      <c r="H15" s="407">
        <v>72102</v>
      </c>
      <c r="I15" s="112"/>
      <c r="J15" s="112"/>
    </row>
    <row r="16" spans="1:10" ht="15" customHeight="1" x14ac:dyDescent="0.25">
      <c r="C16" s="400">
        <v>11</v>
      </c>
      <c r="D16" s="415">
        <v>56916</v>
      </c>
      <c r="E16" s="404">
        <v>65610</v>
      </c>
      <c r="F16" s="404">
        <v>68508</v>
      </c>
      <c r="G16" s="404">
        <v>70826</v>
      </c>
      <c r="H16" s="407">
        <v>73145</v>
      </c>
      <c r="I16" s="112"/>
      <c r="J16" s="112"/>
    </row>
    <row r="17" spans="3:10" ht="15" customHeight="1" x14ac:dyDescent="0.25">
      <c r="C17" s="400">
        <v>12</v>
      </c>
      <c r="D17" s="415">
        <v>57959</v>
      </c>
      <c r="E17" s="404">
        <v>66654</v>
      </c>
      <c r="F17" s="404">
        <v>69551</v>
      </c>
      <c r="G17" s="404">
        <v>71870</v>
      </c>
      <c r="H17" s="407">
        <v>74188</v>
      </c>
      <c r="I17" s="112"/>
      <c r="J17" s="112"/>
    </row>
    <row r="18" spans="3:10" ht="15" customHeight="1" x14ac:dyDescent="0.25">
      <c r="C18" s="400">
        <v>13</v>
      </c>
      <c r="D18" s="415">
        <v>59003</v>
      </c>
      <c r="E18" s="404">
        <v>67697</v>
      </c>
      <c r="F18" s="404">
        <v>70595</v>
      </c>
      <c r="G18" s="404">
        <v>72913</v>
      </c>
      <c r="H18" s="407">
        <v>75232</v>
      </c>
      <c r="I18" s="112"/>
      <c r="J18" s="112"/>
    </row>
    <row r="19" spans="3:10" ht="15" customHeight="1" x14ac:dyDescent="0.25">
      <c r="C19" s="400">
        <v>14</v>
      </c>
      <c r="D19" s="415">
        <v>60046</v>
      </c>
      <c r="E19" s="404">
        <v>68740</v>
      </c>
      <c r="F19" s="404">
        <v>71795</v>
      </c>
      <c r="G19" s="404">
        <v>73956</v>
      </c>
      <c r="H19" s="407">
        <v>76275</v>
      </c>
      <c r="I19" s="112"/>
      <c r="J19" s="112"/>
    </row>
    <row r="20" spans="3:10" ht="15" customHeight="1" x14ac:dyDescent="0.25">
      <c r="C20" s="400">
        <v>15</v>
      </c>
      <c r="D20" s="415">
        <v>61090</v>
      </c>
      <c r="E20" s="404">
        <v>69783</v>
      </c>
      <c r="F20" s="404">
        <v>72681</v>
      </c>
      <c r="G20" s="404">
        <v>75000</v>
      </c>
      <c r="H20" s="407">
        <v>77318</v>
      </c>
      <c r="I20" s="112"/>
      <c r="J20" s="112"/>
    </row>
    <row r="21" spans="3:10" ht="15" customHeight="1" x14ac:dyDescent="0.25">
      <c r="C21" s="400">
        <v>16</v>
      </c>
      <c r="D21" s="415">
        <v>62133</v>
      </c>
      <c r="E21" s="404">
        <v>70826</v>
      </c>
      <c r="F21" s="404">
        <v>73725</v>
      </c>
      <c r="G21" s="404">
        <v>76043</v>
      </c>
      <c r="H21" s="407">
        <v>78361</v>
      </c>
      <c r="I21" s="112"/>
      <c r="J21" s="112"/>
    </row>
    <row r="22" spans="3:10" ht="15" customHeight="1" x14ac:dyDescent="0.25">
      <c r="C22" s="400">
        <v>17</v>
      </c>
      <c r="D22" s="415">
        <v>62133</v>
      </c>
      <c r="E22" s="404">
        <v>70826</v>
      </c>
      <c r="F22" s="404">
        <v>73725</v>
      </c>
      <c r="G22" s="404">
        <v>76043</v>
      </c>
      <c r="H22" s="407">
        <v>78361</v>
      </c>
      <c r="I22" s="112"/>
      <c r="J22" s="112"/>
    </row>
    <row r="23" spans="3:10" ht="15" customHeight="1" x14ac:dyDescent="0.25">
      <c r="C23" s="400">
        <v>18</v>
      </c>
      <c r="D23" s="415">
        <v>62133</v>
      </c>
      <c r="E23" s="404">
        <v>70826</v>
      </c>
      <c r="F23" s="404">
        <v>73725</v>
      </c>
      <c r="G23" s="404">
        <v>76043</v>
      </c>
      <c r="H23" s="407">
        <v>78361</v>
      </c>
      <c r="I23" s="112"/>
      <c r="J23" s="112"/>
    </row>
    <row r="24" spans="3:10" ht="15" customHeight="1" x14ac:dyDescent="0.25">
      <c r="C24" s="400">
        <v>19</v>
      </c>
      <c r="D24" s="415">
        <v>63176</v>
      </c>
      <c r="E24" s="404">
        <v>71870</v>
      </c>
      <c r="F24" s="404">
        <v>74768</v>
      </c>
      <c r="G24" s="404">
        <v>77086</v>
      </c>
      <c r="H24" s="407">
        <v>79405</v>
      </c>
      <c r="I24" s="112"/>
      <c r="J24" s="112"/>
    </row>
    <row r="25" spans="3:10" ht="15" customHeight="1" x14ac:dyDescent="0.25">
      <c r="C25" s="400">
        <v>20</v>
      </c>
      <c r="D25" s="415">
        <v>63176</v>
      </c>
      <c r="E25" s="404">
        <v>71870</v>
      </c>
      <c r="F25" s="404">
        <v>74768</v>
      </c>
      <c r="G25" s="404">
        <v>77086</v>
      </c>
      <c r="H25" s="407">
        <v>79405</v>
      </c>
      <c r="I25" s="112"/>
      <c r="J25" s="112"/>
    </row>
    <row r="26" spans="3:10" ht="15" customHeight="1" x14ac:dyDescent="0.25">
      <c r="C26" s="400">
        <v>21</v>
      </c>
      <c r="D26" s="415">
        <v>63176</v>
      </c>
      <c r="E26" s="404">
        <v>71870</v>
      </c>
      <c r="F26" s="404">
        <v>74768</v>
      </c>
      <c r="G26" s="404">
        <v>77086</v>
      </c>
      <c r="H26" s="407">
        <v>79405</v>
      </c>
      <c r="I26" s="112"/>
      <c r="J26" s="112"/>
    </row>
    <row r="27" spans="3:10" ht="15" customHeight="1" x14ac:dyDescent="0.3">
      <c r="C27" s="400">
        <v>22</v>
      </c>
      <c r="D27" s="415">
        <v>64219</v>
      </c>
      <c r="E27" s="404">
        <v>72913</v>
      </c>
      <c r="F27" s="404">
        <v>75811</v>
      </c>
      <c r="G27" s="404">
        <v>78130</v>
      </c>
      <c r="H27" s="407">
        <v>80448</v>
      </c>
      <c r="J27" s="13"/>
    </row>
    <row r="28" spans="3:10" ht="15" customHeight="1" x14ac:dyDescent="0.25">
      <c r="C28" s="400">
        <v>23</v>
      </c>
      <c r="D28" s="415">
        <v>64219</v>
      </c>
      <c r="E28" s="404">
        <v>72913</v>
      </c>
      <c r="F28" s="404">
        <v>75811</v>
      </c>
      <c r="G28" s="404">
        <v>78130</v>
      </c>
      <c r="H28" s="407">
        <v>80448</v>
      </c>
    </row>
    <row r="29" spans="3:10" ht="15" customHeight="1" x14ac:dyDescent="0.25">
      <c r="C29" s="400">
        <v>24</v>
      </c>
      <c r="D29" s="415">
        <v>64219</v>
      </c>
      <c r="E29" s="404">
        <v>72913</v>
      </c>
      <c r="F29" s="404">
        <v>75811</v>
      </c>
      <c r="G29" s="404">
        <v>78130</v>
      </c>
      <c r="H29" s="407">
        <v>80448</v>
      </c>
    </row>
    <row r="30" spans="3:10" ht="15" customHeight="1" thickBot="1" x14ac:dyDescent="0.3">
      <c r="C30" s="401">
        <v>25</v>
      </c>
      <c r="D30" s="416">
        <v>66306</v>
      </c>
      <c r="E30" s="408">
        <v>75000</v>
      </c>
      <c r="F30" s="408">
        <v>77898</v>
      </c>
      <c r="G30" s="408">
        <v>80216</v>
      </c>
      <c r="H30" s="409">
        <v>82534</v>
      </c>
    </row>
  </sheetData>
  <mergeCells count="1">
    <mergeCell ref="A2:H2"/>
  </mergeCells>
  <printOptions horizontalCentered="1"/>
  <pageMargins left="0.70138888888888884" right="0.7" top="0.75" bottom="0.75" header="0.3" footer="0.3"/>
  <pageSetup orientation="landscape" r:id="rId1"/>
  <headerFooter alignWithMargins="0">
    <oddFooter>&amp;L&amp;"Arial,Bold"&amp;F&amp;C&amp;"Arial,Bold"&amp;D &amp;R&amp;"Arial,Bold"Appendix C-2</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1:J72"/>
  <sheetViews>
    <sheetView showGridLines="0" showZeros="0" view="pageLayout" zoomScaleNormal="120" workbookViewId="0">
      <selection activeCell="F17" sqref="F17"/>
    </sheetView>
  </sheetViews>
  <sheetFormatPr defaultColWidth="11.26953125" defaultRowHeight="15" customHeight="1" x14ac:dyDescent="0.25"/>
  <cols>
    <col min="1" max="1" width="3.7265625" style="15" customWidth="1"/>
    <col min="2" max="2" width="6.81640625" style="15" customWidth="1"/>
    <col min="3" max="7" width="12.453125" style="19" customWidth="1"/>
    <col min="8" max="8" width="7.54296875" style="19" customWidth="1"/>
    <col min="9" max="10" width="11.26953125" style="19"/>
    <col min="11" max="16384" width="11.26953125" style="15"/>
  </cols>
  <sheetData>
    <row r="1" spans="2:10" ht="15" customHeight="1" thickBot="1" x14ac:dyDescent="0.35">
      <c r="C1" s="2"/>
      <c r="D1" s="15"/>
      <c r="E1" s="15"/>
      <c r="F1" s="15"/>
      <c r="G1" s="15"/>
      <c r="H1" s="15"/>
      <c r="I1" s="15"/>
      <c r="J1" s="15"/>
    </row>
    <row r="2" spans="2:10" ht="20.149999999999999" customHeight="1" thickBot="1" x14ac:dyDescent="0.4">
      <c r="B2" s="526" t="s">
        <v>297</v>
      </c>
      <c r="C2" s="527"/>
      <c r="D2" s="527"/>
      <c r="E2" s="527"/>
      <c r="F2" s="527"/>
      <c r="G2" s="527"/>
      <c r="H2" s="327" t="str">
        <f>ACCUM!A3</f>
        <v>FY'23</v>
      </c>
      <c r="J2" s="15"/>
    </row>
    <row r="3" spans="2:10" ht="15" customHeight="1" thickBot="1" x14ac:dyDescent="0.35">
      <c r="C3" s="2"/>
      <c r="D3" s="15"/>
      <c r="E3" s="15"/>
      <c r="F3" s="15"/>
      <c r="G3" s="15"/>
      <c r="H3" s="15"/>
      <c r="I3" s="15"/>
      <c r="J3" s="15"/>
    </row>
    <row r="4" spans="2:10" s="340" customFormat="1" ht="15" customHeight="1" thickBot="1" x14ac:dyDescent="0.3">
      <c r="C4" s="339" t="s">
        <v>82</v>
      </c>
      <c r="D4" s="413" t="s">
        <v>69</v>
      </c>
      <c r="E4" s="413" t="s">
        <v>72</v>
      </c>
      <c r="F4" s="402" t="s">
        <v>247</v>
      </c>
      <c r="G4" s="402" t="s">
        <v>248</v>
      </c>
    </row>
    <row r="5" spans="2:10" ht="15" customHeight="1" x14ac:dyDescent="0.25">
      <c r="C5" s="417">
        <v>1</v>
      </c>
      <c r="D5" s="422">
        <v>54888</v>
      </c>
      <c r="E5" s="405">
        <v>54888</v>
      </c>
      <c r="F5" s="405">
        <v>54888</v>
      </c>
      <c r="G5" s="406">
        <v>54888</v>
      </c>
      <c r="H5" s="15"/>
      <c r="I5" s="15"/>
      <c r="J5" s="15"/>
    </row>
    <row r="6" spans="2:10" ht="15" customHeight="1" x14ac:dyDescent="0.25">
      <c r="C6" s="418">
        <v>2</v>
      </c>
      <c r="D6" s="415">
        <v>57521</v>
      </c>
      <c r="E6" s="404">
        <v>57521</v>
      </c>
      <c r="F6" s="404">
        <v>57521</v>
      </c>
      <c r="G6" s="407">
        <v>57521</v>
      </c>
      <c r="H6" s="15"/>
      <c r="I6" s="15"/>
      <c r="J6" s="290"/>
    </row>
    <row r="7" spans="2:10" ht="15" customHeight="1" x14ac:dyDescent="0.25">
      <c r="C7" s="418">
        <v>3</v>
      </c>
      <c r="D7" s="415">
        <v>59718</v>
      </c>
      <c r="E7" s="404">
        <v>59718</v>
      </c>
      <c r="F7" s="404">
        <v>59718</v>
      </c>
      <c r="G7" s="407">
        <v>59718</v>
      </c>
      <c r="H7" s="15"/>
      <c r="I7" s="15"/>
      <c r="J7" s="15"/>
    </row>
    <row r="8" spans="2:10" ht="15" customHeight="1" x14ac:dyDescent="0.25">
      <c r="C8" s="418">
        <v>4</v>
      </c>
      <c r="D8" s="415">
        <v>62352</v>
      </c>
      <c r="E8" s="404">
        <v>64988</v>
      </c>
      <c r="F8" s="404">
        <v>65865</v>
      </c>
      <c r="G8" s="407">
        <v>65865</v>
      </c>
      <c r="H8" s="15"/>
      <c r="I8" s="15"/>
      <c r="J8" s="15"/>
    </row>
    <row r="9" spans="2:10" ht="15" customHeight="1" x14ac:dyDescent="0.25">
      <c r="C9" s="418">
        <v>5</v>
      </c>
      <c r="D9" s="415">
        <v>64988</v>
      </c>
      <c r="E9" s="404">
        <v>67183</v>
      </c>
      <c r="F9" s="404">
        <v>68062</v>
      </c>
      <c r="G9" s="407">
        <v>69817</v>
      </c>
      <c r="H9" s="15"/>
      <c r="I9" s="15"/>
      <c r="J9" s="15"/>
    </row>
    <row r="10" spans="2:10" ht="15" customHeight="1" x14ac:dyDescent="0.25">
      <c r="C10" s="418">
        <v>6</v>
      </c>
      <c r="D10" s="415">
        <v>67183</v>
      </c>
      <c r="E10" s="404">
        <v>69817</v>
      </c>
      <c r="F10" s="404">
        <v>70694</v>
      </c>
      <c r="G10" s="407">
        <v>72453</v>
      </c>
      <c r="H10" s="15"/>
      <c r="I10" s="15"/>
      <c r="J10" s="15"/>
    </row>
    <row r="11" spans="2:10" ht="15" customHeight="1" x14ac:dyDescent="0.25">
      <c r="C11" s="418">
        <v>7</v>
      </c>
      <c r="D11" s="415">
        <v>69817</v>
      </c>
      <c r="E11" s="404">
        <v>72453</v>
      </c>
      <c r="F11" s="404">
        <v>73329</v>
      </c>
      <c r="G11" s="407">
        <v>74648</v>
      </c>
      <c r="H11" s="15"/>
      <c r="I11" s="15"/>
      <c r="J11" s="15"/>
    </row>
    <row r="12" spans="2:10" ht="15" customHeight="1" x14ac:dyDescent="0.25">
      <c r="C12" s="418">
        <v>8</v>
      </c>
      <c r="D12" s="415">
        <v>72453</v>
      </c>
      <c r="E12" s="404">
        <v>74648</v>
      </c>
      <c r="F12" s="404">
        <v>75964</v>
      </c>
      <c r="G12" s="407">
        <v>77281</v>
      </c>
      <c r="H12" s="15"/>
      <c r="I12" s="15"/>
      <c r="J12" s="15"/>
    </row>
    <row r="13" spans="2:10" ht="15" customHeight="1" x14ac:dyDescent="0.25">
      <c r="C13" s="418">
        <v>9</v>
      </c>
      <c r="D13" s="415">
        <v>74207</v>
      </c>
      <c r="E13" s="404">
        <v>77281</v>
      </c>
      <c r="F13" s="404">
        <v>78160</v>
      </c>
      <c r="G13" s="407">
        <v>79916</v>
      </c>
      <c r="H13" s="15"/>
      <c r="I13" s="15"/>
      <c r="J13" s="15"/>
    </row>
    <row r="14" spans="2:10" ht="15" customHeight="1" x14ac:dyDescent="0.25">
      <c r="C14" s="418">
        <v>10</v>
      </c>
      <c r="D14" s="415">
        <v>76404</v>
      </c>
      <c r="E14" s="404">
        <v>79916</v>
      </c>
      <c r="F14" s="404">
        <v>80794</v>
      </c>
      <c r="G14" s="407">
        <v>82112</v>
      </c>
      <c r="H14" s="15"/>
      <c r="I14" s="15"/>
      <c r="J14" s="15"/>
    </row>
    <row r="15" spans="2:10" ht="15" customHeight="1" x14ac:dyDescent="0.25">
      <c r="C15" s="418">
        <v>11</v>
      </c>
      <c r="D15" s="415">
        <v>77721</v>
      </c>
      <c r="E15" s="404">
        <v>81673</v>
      </c>
      <c r="F15" s="404">
        <v>83429</v>
      </c>
      <c r="G15" s="407">
        <v>84746</v>
      </c>
      <c r="H15" s="15"/>
      <c r="I15" s="15"/>
      <c r="J15" s="15"/>
    </row>
    <row r="16" spans="2:10" ht="15" customHeight="1" x14ac:dyDescent="0.25">
      <c r="C16" s="418">
        <v>12</v>
      </c>
      <c r="D16" s="415">
        <v>79038</v>
      </c>
      <c r="E16" s="404">
        <v>83868</v>
      </c>
      <c r="F16" s="404">
        <v>85185</v>
      </c>
      <c r="G16" s="407">
        <v>87382</v>
      </c>
      <c r="H16" s="15"/>
      <c r="I16" s="15"/>
      <c r="J16" s="15"/>
    </row>
    <row r="17" spans="3:10" ht="15" customHeight="1" x14ac:dyDescent="0.25">
      <c r="C17" s="418">
        <v>13</v>
      </c>
      <c r="D17" s="415">
        <v>80794</v>
      </c>
      <c r="E17" s="404">
        <v>85625</v>
      </c>
      <c r="F17" s="404">
        <v>87382</v>
      </c>
      <c r="G17" s="407">
        <v>89576</v>
      </c>
      <c r="H17" s="15"/>
      <c r="I17" s="15"/>
      <c r="J17" s="15"/>
    </row>
    <row r="18" spans="3:10" ht="15" customHeight="1" x14ac:dyDescent="0.25">
      <c r="C18" s="418">
        <v>14</v>
      </c>
      <c r="D18" s="415">
        <v>82112</v>
      </c>
      <c r="E18" s="404">
        <v>87820</v>
      </c>
      <c r="F18" s="404">
        <v>89137</v>
      </c>
      <c r="G18" s="407">
        <v>92211</v>
      </c>
      <c r="H18" s="15"/>
      <c r="I18" s="15"/>
      <c r="J18" s="15"/>
    </row>
    <row r="19" spans="3:10" ht="15" customHeight="1" x14ac:dyDescent="0.25">
      <c r="C19" s="418">
        <v>15</v>
      </c>
      <c r="D19" s="415">
        <v>83868</v>
      </c>
      <c r="E19" s="404">
        <v>89576</v>
      </c>
      <c r="F19" s="404">
        <v>91334</v>
      </c>
      <c r="G19" s="407">
        <v>94846</v>
      </c>
      <c r="H19" s="15"/>
      <c r="I19" s="15"/>
      <c r="J19" s="15"/>
    </row>
    <row r="20" spans="3:10" ht="15" customHeight="1" x14ac:dyDescent="0.25">
      <c r="C20" s="418">
        <v>16</v>
      </c>
      <c r="D20" s="415">
        <v>83868</v>
      </c>
      <c r="E20" s="404">
        <v>89576</v>
      </c>
      <c r="F20" s="404">
        <v>91334</v>
      </c>
      <c r="G20" s="407">
        <v>94846</v>
      </c>
      <c r="H20" s="15"/>
      <c r="I20" s="15"/>
      <c r="J20" s="15"/>
    </row>
    <row r="21" spans="3:10" ht="15" customHeight="1" x14ac:dyDescent="0.25">
      <c r="C21" s="418">
        <v>17</v>
      </c>
      <c r="D21" s="415">
        <v>83868</v>
      </c>
      <c r="E21" s="404">
        <v>89576</v>
      </c>
      <c r="F21" s="404">
        <v>91334</v>
      </c>
      <c r="G21" s="407">
        <v>94846</v>
      </c>
      <c r="H21" s="15"/>
      <c r="I21" s="15"/>
      <c r="J21" s="15"/>
    </row>
    <row r="22" spans="3:10" ht="15" customHeight="1" x14ac:dyDescent="0.25">
      <c r="C22" s="418">
        <v>18</v>
      </c>
      <c r="D22" s="415">
        <v>83868</v>
      </c>
      <c r="E22" s="404">
        <v>89576</v>
      </c>
      <c r="F22" s="404">
        <v>91334</v>
      </c>
      <c r="G22" s="407">
        <v>94846</v>
      </c>
      <c r="H22" s="15"/>
      <c r="I22" s="15"/>
      <c r="J22" s="15"/>
    </row>
    <row r="23" spans="3:10" ht="15" customHeight="1" x14ac:dyDescent="0.25">
      <c r="C23" s="418">
        <v>19</v>
      </c>
      <c r="D23" s="415">
        <v>83868</v>
      </c>
      <c r="E23" s="404">
        <v>89576</v>
      </c>
      <c r="F23" s="404">
        <v>91333</v>
      </c>
      <c r="G23" s="407">
        <v>94846</v>
      </c>
      <c r="H23" s="15"/>
      <c r="I23" s="15"/>
      <c r="J23" s="15"/>
    </row>
    <row r="24" spans="3:10" ht="15" customHeight="1" thickBot="1" x14ac:dyDescent="0.3">
      <c r="C24" s="419">
        <v>20</v>
      </c>
      <c r="D24" s="416">
        <v>85625</v>
      </c>
      <c r="E24" s="408">
        <v>91334</v>
      </c>
      <c r="F24" s="408">
        <v>93088</v>
      </c>
      <c r="G24" s="409">
        <v>96602</v>
      </c>
      <c r="H24" s="15"/>
      <c r="I24" s="15"/>
      <c r="J24" s="15"/>
    </row>
    <row r="25" spans="3:10" ht="15" customHeight="1" x14ac:dyDescent="0.3">
      <c r="C25" s="21"/>
      <c r="D25" s="23"/>
      <c r="E25" s="23"/>
      <c r="F25" s="23"/>
      <c r="G25" s="23"/>
    </row>
    <row r="26" spans="3:10" ht="15" customHeight="1" x14ac:dyDescent="0.3">
      <c r="C26" s="21"/>
      <c r="D26" s="23"/>
      <c r="E26" s="23"/>
      <c r="F26" s="23"/>
      <c r="G26" s="23"/>
    </row>
    <row r="27" spans="3:10" ht="15" customHeight="1" x14ac:dyDescent="0.3">
      <c r="C27" s="21"/>
      <c r="D27" s="23"/>
      <c r="E27" s="23"/>
      <c r="F27" s="23"/>
      <c r="G27" s="23"/>
    </row>
    <row r="28" spans="3:10" ht="15" customHeight="1" x14ac:dyDescent="0.3">
      <c r="C28" s="21"/>
      <c r="D28" s="23"/>
      <c r="E28" s="23"/>
      <c r="F28" s="23"/>
      <c r="G28" s="23"/>
    </row>
    <row r="29" spans="3:10" ht="15" customHeight="1" x14ac:dyDescent="0.3">
      <c r="C29" s="21"/>
      <c r="D29" s="23"/>
      <c r="E29" s="23"/>
      <c r="F29" s="23"/>
      <c r="G29" s="23"/>
    </row>
    <row r="30" spans="3:10" ht="15" customHeight="1" x14ac:dyDescent="0.3">
      <c r="C30" s="21"/>
      <c r="D30" s="23"/>
      <c r="E30" s="23"/>
      <c r="F30" s="23"/>
      <c r="G30" s="23"/>
    </row>
    <row r="31" spans="3:10" ht="15" customHeight="1" x14ac:dyDescent="0.3">
      <c r="C31" s="21"/>
      <c r="D31" s="23"/>
      <c r="E31" s="23"/>
      <c r="F31" s="23"/>
      <c r="G31" s="23"/>
    </row>
    <row r="32" spans="3:10" ht="15" customHeight="1" x14ac:dyDescent="0.3">
      <c r="C32" s="21"/>
      <c r="D32" s="23"/>
      <c r="E32" s="23"/>
      <c r="F32" s="23"/>
      <c r="G32" s="23"/>
    </row>
    <row r="33" spans="3:7" ht="15" customHeight="1" x14ac:dyDescent="0.3">
      <c r="C33" s="21"/>
      <c r="D33" s="23"/>
      <c r="E33" s="23"/>
      <c r="F33" s="23"/>
      <c r="G33" s="23"/>
    </row>
    <row r="34" spans="3:7" ht="15" customHeight="1" x14ac:dyDescent="0.3">
      <c r="C34" s="21"/>
      <c r="D34" s="23"/>
      <c r="E34" s="23"/>
      <c r="F34" s="23"/>
      <c r="G34" s="23"/>
    </row>
    <row r="35" spans="3:7" ht="15" customHeight="1" x14ac:dyDescent="0.3">
      <c r="C35" s="21"/>
      <c r="D35" s="23"/>
      <c r="E35" s="23"/>
      <c r="F35" s="23"/>
      <c r="G35" s="23"/>
    </row>
    <row r="36" spans="3:7" ht="15" customHeight="1" x14ac:dyDescent="0.3">
      <c r="C36" s="21"/>
      <c r="D36" s="23"/>
      <c r="E36" s="23"/>
      <c r="F36" s="23"/>
      <c r="G36" s="23"/>
    </row>
    <row r="37" spans="3:7" ht="15" customHeight="1" x14ac:dyDescent="0.3">
      <c r="C37" s="21"/>
      <c r="D37" s="23"/>
      <c r="E37" s="23"/>
      <c r="F37" s="23"/>
      <c r="G37" s="23"/>
    </row>
    <row r="38" spans="3:7" ht="15" customHeight="1" x14ac:dyDescent="0.3">
      <c r="C38" s="21"/>
      <c r="D38" s="23"/>
      <c r="E38" s="23"/>
      <c r="F38" s="23"/>
      <c r="G38" s="23"/>
    </row>
    <row r="39" spans="3:7" ht="15" customHeight="1" x14ac:dyDescent="0.3">
      <c r="C39" s="21"/>
      <c r="D39" s="23"/>
      <c r="E39" s="23"/>
      <c r="F39" s="23"/>
      <c r="G39" s="23"/>
    </row>
    <row r="40" spans="3:7" ht="15" customHeight="1" x14ac:dyDescent="0.3">
      <c r="C40" s="10"/>
    </row>
    <row r="41" spans="3:7" ht="15" customHeight="1" x14ac:dyDescent="0.3">
      <c r="C41" s="28"/>
    </row>
    <row r="42" spans="3:7" ht="15" customHeight="1" x14ac:dyDescent="0.3">
      <c r="C42" s="10"/>
    </row>
    <row r="43" spans="3:7" ht="15" customHeight="1" x14ac:dyDescent="0.3">
      <c r="C43" s="10"/>
    </row>
    <row r="44" spans="3:7" ht="15" customHeight="1" x14ac:dyDescent="0.3">
      <c r="C44" s="10"/>
    </row>
    <row r="45" spans="3:7" ht="15" customHeight="1" x14ac:dyDescent="0.3">
      <c r="C45" s="30"/>
    </row>
    <row r="46" spans="3:7" ht="15" customHeight="1" x14ac:dyDescent="0.3">
      <c r="C46" s="10"/>
    </row>
    <row r="47" spans="3:7" ht="15" customHeight="1" x14ac:dyDescent="0.3">
      <c r="C47" s="21"/>
      <c r="D47" s="21"/>
      <c r="E47" s="21"/>
      <c r="F47" s="21"/>
      <c r="G47" s="21"/>
    </row>
    <row r="48" spans="3:7" ht="15" customHeight="1" x14ac:dyDescent="0.3">
      <c r="C48" s="21"/>
      <c r="D48" s="20"/>
    </row>
    <row r="49" spans="3:7" ht="15" customHeight="1" x14ac:dyDescent="0.3">
      <c r="C49" s="21"/>
      <c r="D49" s="26"/>
      <c r="E49" s="26"/>
      <c r="F49" s="26"/>
      <c r="G49" s="26"/>
    </row>
    <row r="50" spans="3:7" ht="15" customHeight="1" x14ac:dyDescent="0.3">
      <c r="C50" s="21"/>
      <c r="D50" s="26"/>
      <c r="E50" s="26"/>
      <c r="F50" s="26"/>
      <c r="G50" s="26"/>
    </row>
    <row r="51" spans="3:7" ht="15" customHeight="1" x14ac:dyDescent="0.3">
      <c r="C51" s="21"/>
      <c r="D51" s="26"/>
      <c r="E51" s="26"/>
      <c r="F51" s="26"/>
      <c r="G51" s="26"/>
    </row>
    <row r="52" spans="3:7" ht="15" customHeight="1" x14ac:dyDescent="0.3">
      <c r="C52" s="21"/>
      <c r="D52" s="26"/>
      <c r="E52" s="26"/>
      <c r="F52" s="26"/>
      <c r="G52" s="26"/>
    </row>
    <row r="53" spans="3:7" ht="15" customHeight="1" x14ac:dyDescent="0.3">
      <c r="C53" s="21"/>
      <c r="D53" s="26"/>
      <c r="E53" s="26"/>
      <c r="F53" s="26"/>
      <c r="G53" s="26"/>
    </row>
    <row r="54" spans="3:7" ht="15" customHeight="1" x14ac:dyDescent="0.3">
      <c r="C54" s="21"/>
      <c r="D54" s="26"/>
      <c r="E54" s="26"/>
      <c r="F54" s="26"/>
      <c r="G54" s="26"/>
    </row>
    <row r="55" spans="3:7" ht="15" customHeight="1" x14ac:dyDescent="0.3">
      <c r="C55" s="21"/>
      <c r="D55" s="26"/>
      <c r="E55" s="26"/>
      <c r="F55" s="26"/>
      <c r="G55" s="26"/>
    </row>
    <row r="56" spans="3:7" ht="15" customHeight="1" x14ac:dyDescent="0.3">
      <c r="C56" s="21"/>
      <c r="D56" s="26"/>
      <c r="E56" s="26"/>
      <c r="F56" s="26"/>
      <c r="G56" s="26"/>
    </row>
    <row r="57" spans="3:7" ht="15" customHeight="1" x14ac:dyDescent="0.3">
      <c r="C57" s="21"/>
      <c r="D57" s="26"/>
      <c r="E57" s="26"/>
      <c r="F57" s="26"/>
      <c r="G57" s="26"/>
    </row>
    <row r="58" spans="3:7" ht="15" customHeight="1" x14ac:dyDescent="0.3">
      <c r="C58" s="21"/>
      <c r="D58" s="26"/>
      <c r="E58" s="26"/>
      <c r="F58" s="26"/>
      <c r="G58" s="26"/>
    </row>
    <row r="59" spans="3:7" ht="15" customHeight="1" x14ac:dyDescent="0.3">
      <c r="C59" s="21"/>
      <c r="D59" s="26"/>
      <c r="E59" s="26"/>
      <c r="F59" s="26"/>
      <c r="G59" s="26"/>
    </row>
    <row r="60" spans="3:7" ht="15" customHeight="1" x14ac:dyDescent="0.3">
      <c r="C60" s="21"/>
      <c r="D60" s="26"/>
      <c r="E60" s="26"/>
      <c r="F60" s="26"/>
      <c r="G60" s="26"/>
    </row>
    <row r="61" spans="3:7" ht="15" customHeight="1" x14ac:dyDescent="0.3">
      <c r="C61" s="21"/>
      <c r="D61" s="26"/>
      <c r="E61" s="26"/>
      <c r="F61" s="26"/>
      <c r="G61" s="26"/>
    </row>
    <row r="62" spans="3:7" ht="15" customHeight="1" x14ac:dyDescent="0.3">
      <c r="C62" s="21"/>
      <c r="D62" s="26"/>
      <c r="E62" s="26"/>
      <c r="F62" s="26"/>
      <c r="G62" s="26"/>
    </row>
    <row r="63" spans="3:7" ht="15" customHeight="1" x14ac:dyDescent="0.3">
      <c r="C63" s="21"/>
      <c r="D63" s="26"/>
      <c r="E63" s="26"/>
      <c r="F63" s="26"/>
      <c r="G63" s="26"/>
    </row>
    <row r="64" spans="3:7" ht="15" customHeight="1" x14ac:dyDescent="0.3">
      <c r="C64" s="21"/>
      <c r="D64" s="26"/>
      <c r="E64" s="26"/>
      <c r="F64" s="26"/>
      <c r="G64" s="26"/>
    </row>
    <row r="65" spans="3:7" ht="15" customHeight="1" x14ac:dyDescent="0.3">
      <c r="C65" s="21"/>
      <c r="D65" s="26"/>
      <c r="E65" s="26"/>
      <c r="F65" s="26"/>
      <c r="G65" s="26"/>
    </row>
    <row r="66" spans="3:7" ht="15" customHeight="1" x14ac:dyDescent="0.3">
      <c r="C66" s="21"/>
      <c r="D66" s="26"/>
      <c r="E66" s="26"/>
      <c r="F66" s="26"/>
      <c r="G66" s="26"/>
    </row>
    <row r="67" spans="3:7" ht="15" customHeight="1" x14ac:dyDescent="0.3">
      <c r="C67" s="21"/>
      <c r="D67" s="26"/>
      <c r="E67" s="26"/>
      <c r="F67" s="26"/>
      <c r="G67" s="26"/>
    </row>
    <row r="68" spans="3:7" ht="15" customHeight="1" x14ac:dyDescent="0.3">
      <c r="C68" s="21"/>
      <c r="D68" s="26"/>
      <c r="E68" s="26"/>
      <c r="F68" s="26"/>
      <c r="G68" s="26"/>
    </row>
    <row r="69" spans="3:7" ht="15" customHeight="1" x14ac:dyDescent="0.3">
      <c r="C69" s="10"/>
    </row>
    <row r="70" spans="3:7" ht="15" customHeight="1" x14ac:dyDescent="0.3">
      <c r="C70" s="28"/>
      <c r="D70" s="27"/>
      <c r="E70" s="27"/>
      <c r="F70" s="27"/>
      <c r="G70" s="26"/>
    </row>
    <row r="71" spans="3:7" ht="15" customHeight="1" x14ac:dyDescent="0.3">
      <c r="C71" s="10"/>
    </row>
    <row r="72" spans="3:7" ht="15" customHeight="1" x14ac:dyDescent="0.3">
      <c r="C72" s="10"/>
    </row>
  </sheetData>
  <mergeCells count="1">
    <mergeCell ref="B2:G2"/>
  </mergeCells>
  <phoneticPr fontId="5" type="noConversion"/>
  <printOptions horizontalCentered="1"/>
  <pageMargins left="0.7" right="0.7" top="0.75" bottom="0.75" header="0.3" footer="0.3"/>
  <pageSetup orientation="landscape" r:id="rId1"/>
  <headerFooter alignWithMargins="0">
    <oddFooter>&amp;L&amp;"Arial,Bold"&amp;F &amp;C&amp;"Arial,Bold"&amp;D&amp;R&amp;"Arial,Bold"Appendix C-3</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B9F9D-E95B-4B62-86FC-8387C1C20E73}">
  <sheetPr codeName="Sheet38">
    <pageSetUpPr fitToPage="1"/>
  </sheetPr>
  <dimension ref="B1:M66"/>
  <sheetViews>
    <sheetView showGridLines="0" showZeros="0" view="pageLayout" zoomScaleNormal="120" workbookViewId="0">
      <selection activeCell="D5" sqref="D5:L24"/>
    </sheetView>
  </sheetViews>
  <sheetFormatPr defaultColWidth="11.26953125" defaultRowHeight="15" customHeight="1" x14ac:dyDescent="0.25"/>
  <cols>
    <col min="1" max="1" width="3.7265625" style="15" customWidth="1"/>
    <col min="2" max="2" width="6.81640625" style="15" customWidth="1"/>
    <col min="3" max="4" width="12.453125" style="19" customWidth="1"/>
    <col min="5" max="5" width="11.81640625" style="19" customWidth="1"/>
    <col min="6" max="6" width="11" style="19" customWidth="1"/>
    <col min="7" max="7" width="10.7265625" style="19" customWidth="1"/>
    <col min="8" max="8" width="10.453125" style="19" customWidth="1"/>
    <col min="9" max="9" width="11.453125" style="19" customWidth="1"/>
    <col min="10" max="10" width="11" style="19" customWidth="1"/>
    <col min="11" max="11" width="11.26953125" style="19" customWidth="1"/>
    <col min="12" max="13" width="11.26953125" style="19"/>
    <col min="14" max="16384" width="11.26953125" style="15"/>
  </cols>
  <sheetData>
    <row r="1" spans="2:13" ht="15" customHeight="1" thickBot="1" x14ac:dyDescent="0.35">
      <c r="C1" s="2"/>
      <c r="D1" s="15"/>
      <c r="E1" s="15"/>
      <c r="F1" s="15"/>
      <c r="G1" s="15"/>
      <c r="H1" s="15"/>
      <c r="I1" s="15"/>
      <c r="J1" s="15"/>
      <c r="K1" s="15"/>
      <c r="L1" s="15"/>
      <c r="M1" s="15"/>
    </row>
    <row r="2" spans="2:13" ht="20.149999999999999" customHeight="1" thickBot="1" x14ac:dyDescent="0.4">
      <c r="B2" s="526" t="s">
        <v>296</v>
      </c>
      <c r="C2" s="527"/>
      <c r="D2" s="527"/>
      <c r="E2" s="527"/>
      <c r="F2" s="527"/>
      <c r="G2" s="527"/>
      <c r="H2" s="527"/>
      <c r="I2" s="527"/>
      <c r="J2" s="376"/>
      <c r="K2" s="317"/>
      <c r="L2" s="270" t="str">
        <f>ACCUM!A3</f>
        <v>FY'23</v>
      </c>
      <c r="M2" s="15"/>
    </row>
    <row r="3" spans="2:13" ht="15" customHeight="1" thickBot="1" x14ac:dyDescent="0.35">
      <c r="C3" s="2"/>
      <c r="D3" s="15"/>
      <c r="E3" s="15"/>
      <c r="F3" s="15"/>
      <c r="G3" s="15"/>
      <c r="H3" s="15"/>
      <c r="I3" s="15"/>
      <c r="J3" s="15"/>
      <c r="K3" s="15"/>
      <c r="L3" s="15"/>
      <c r="M3" s="15"/>
    </row>
    <row r="4" spans="2:13" s="340" customFormat="1" ht="15" customHeight="1" thickBot="1" x14ac:dyDescent="0.3">
      <c r="C4" s="339" t="s">
        <v>82</v>
      </c>
      <c r="D4" s="421" t="s">
        <v>36</v>
      </c>
      <c r="E4" s="420" t="s">
        <v>37</v>
      </c>
      <c r="F4" s="420" t="s">
        <v>38</v>
      </c>
      <c r="G4" s="420" t="s">
        <v>69</v>
      </c>
      <c r="H4" s="420" t="s">
        <v>70</v>
      </c>
      <c r="I4" s="402" t="s">
        <v>71</v>
      </c>
      <c r="J4" s="413" t="s">
        <v>72</v>
      </c>
      <c r="K4" s="402" t="s">
        <v>247</v>
      </c>
      <c r="L4" s="402" t="s">
        <v>248</v>
      </c>
    </row>
    <row r="5" spans="2:13" ht="15" customHeight="1" x14ac:dyDescent="0.25">
      <c r="C5" s="417">
        <v>1</v>
      </c>
      <c r="D5" s="422">
        <v>49180</v>
      </c>
      <c r="E5" s="405">
        <v>49180</v>
      </c>
      <c r="F5" s="405">
        <v>49180</v>
      </c>
      <c r="G5" s="405">
        <v>54009</v>
      </c>
      <c r="H5" s="405">
        <v>54009</v>
      </c>
      <c r="I5" s="405">
        <v>54009</v>
      </c>
      <c r="J5" s="405">
        <v>54009</v>
      </c>
      <c r="K5" s="405">
        <v>54009</v>
      </c>
      <c r="L5" s="406">
        <v>54009</v>
      </c>
      <c r="M5" s="15"/>
    </row>
    <row r="6" spans="2:13" ht="15" customHeight="1" x14ac:dyDescent="0.25">
      <c r="C6" s="418">
        <v>2</v>
      </c>
      <c r="D6" s="415">
        <v>51813</v>
      </c>
      <c r="E6" s="404">
        <v>52693</v>
      </c>
      <c r="F6" s="404">
        <v>54009</v>
      </c>
      <c r="G6" s="404">
        <v>56644</v>
      </c>
      <c r="H6" s="404">
        <v>57082</v>
      </c>
      <c r="I6" s="404">
        <v>57082</v>
      </c>
      <c r="J6" s="404">
        <v>57082</v>
      </c>
      <c r="K6" s="404">
        <v>57082</v>
      </c>
      <c r="L6" s="407">
        <v>57082</v>
      </c>
      <c r="M6" s="290"/>
    </row>
    <row r="7" spans="2:13" ht="15" customHeight="1" x14ac:dyDescent="0.25">
      <c r="C7" s="418">
        <v>3</v>
      </c>
      <c r="D7" s="415">
        <v>54009</v>
      </c>
      <c r="E7" s="404">
        <v>54888</v>
      </c>
      <c r="F7" s="404">
        <v>56644</v>
      </c>
      <c r="G7" s="404">
        <v>58840</v>
      </c>
      <c r="H7" s="404">
        <v>59718</v>
      </c>
      <c r="I7" s="404">
        <v>60157</v>
      </c>
      <c r="J7" s="404">
        <v>60157</v>
      </c>
      <c r="K7" s="404">
        <v>60157</v>
      </c>
      <c r="L7" s="407">
        <v>60157</v>
      </c>
      <c r="M7" s="15"/>
    </row>
    <row r="8" spans="2:13" ht="15" customHeight="1" x14ac:dyDescent="0.25">
      <c r="C8" s="418">
        <v>4</v>
      </c>
      <c r="D8" s="415">
        <v>56644</v>
      </c>
      <c r="E8" s="404">
        <v>57521</v>
      </c>
      <c r="F8" s="404">
        <v>58840</v>
      </c>
      <c r="G8" s="404">
        <v>61473</v>
      </c>
      <c r="H8" s="404">
        <v>61912</v>
      </c>
      <c r="I8" s="404">
        <v>62352</v>
      </c>
      <c r="J8" s="404">
        <v>64108</v>
      </c>
      <c r="K8" s="404">
        <v>64988</v>
      </c>
      <c r="L8" s="407">
        <v>64988</v>
      </c>
      <c r="M8" s="15"/>
    </row>
    <row r="9" spans="2:13" ht="15" customHeight="1" x14ac:dyDescent="0.25">
      <c r="C9" s="418">
        <v>5</v>
      </c>
      <c r="D9" s="415">
        <v>58840</v>
      </c>
      <c r="E9" s="404">
        <v>60157</v>
      </c>
      <c r="F9" s="404">
        <v>61473</v>
      </c>
      <c r="G9" s="404">
        <v>64108</v>
      </c>
      <c r="H9" s="404">
        <v>64548</v>
      </c>
      <c r="I9" s="404">
        <v>64988</v>
      </c>
      <c r="J9" s="404">
        <v>66303</v>
      </c>
      <c r="K9" s="404">
        <v>67183</v>
      </c>
      <c r="L9" s="407">
        <v>68938</v>
      </c>
      <c r="M9" s="15"/>
    </row>
    <row r="10" spans="2:13" ht="15" customHeight="1" x14ac:dyDescent="0.25">
      <c r="C10" s="418">
        <v>6</v>
      </c>
      <c r="D10" s="415">
        <v>61473</v>
      </c>
      <c r="E10" s="404">
        <v>62352</v>
      </c>
      <c r="F10" s="404">
        <v>64108</v>
      </c>
      <c r="G10" s="404">
        <v>66303</v>
      </c>
      <c r="H10" s="404">
        <v>66742</v>
      </c>
      <c r="I10" s="404">
        <v>67183</v>
      </c>
      <c r="J10" s="404">
        <v>68938</v>
      </c>
      <c r="K10" s="404">
        <v>69817</v>
      </c>
      <c r="L10" s="407">
        <v>71134</v>
      </c>
      <c r="M10" s="15"/>
    </row>
    <row r="11" spans="2:13" ht="15" customHeight="1" x14ac:dyDescent="0.25">
      <c r="C11" s="418">
        <v>7</v>
      </c>
      <c r="D11" s="415">
        <v>63231</v>
      </c>
      <c r="E11" s="404">
        <v>64548</v>
      </c>
      <c r="F11" s="404">
        <v>65865</v>
      </c>
      <c r="G11" s="404">
        <v>68938</v>
      </c>
      <c r="H11" s="404">
        <v>69377</v>
      </c>
      <c r="I11" s="404">
        <v>69817</v>
      </c>
      <c r="J11" s="404">
        <v>71134</v>
      </c>
      <c r="K11" s="404">
        <v>72453</v>
      </c>
      <c r="L11" s="407">
        <v>73768</v>
      </c>
      <c r="M11" s="15"/>
    </row>
    <row r="12" spans="2:13" ht="15" customHeight="1" x14ac:dyDescent="0.25">
      <c r="C12" s="418">
        <v>8</v>
      </c>
      <c r="D12" s="415">
        <v>64988</v>
      </c>
      <c r="E12" s="404">
        <v>66303</v>
      </c>
      <c r="F12" s="404">
        <v>68062</v>
      </c>
      <c r="G12" s="404">
        <v>71134</v>
      </c>
      <c r="H12" s="404">
        <v>72014</v>
      </c>
      <c r="I12" s="404">
        <v>72453</v>
      </c>
      <c r="J12" s="404">
        <v>73768</v>
      </c>
      <c r="K12" s="404">
        <v>74648</v>
      </c>
      <c r="L12" s="407">
        <v>76404</v>
      </c>
      <c r="M12" s="15"/>
    </row>
    <row r="13" spans="2:13" ht="15" customHeight="1" x14ac:dyDescent="0.25">
      <c r="C13" s="418">
        <v>9</v>
      </c>
      <c r="D13" s="415">
        <v>66303</v>
      </c>
      <c r="E13" s="404">
        <v>68062</v>
      </c>
      <c r="F13" s="404">
        <v>69817</v>
      </c>
      <c r="G13" s="404">
        <v>73329</v>
      </c>
      <c r="H13" s="404">
        <v>73768</v>
      </c>
      <c r="I13" s="404">
        <v>74648</v>
      </c>
      <c r="J13" s="404">
        <v>76404</v>
      </c>
      <c r="K13" s="404">
        <v>77281</v>
      </c>
      <c r="L13" s="407">
        <v>78599</v>
      </c>
      <c r="M13" s="15"/>
    </row>
    <row r="14" spans="2:13" ht="15" customHeight="1" x14ac:dyDescent="0.25">
      <c r="C14" s="418">
        <v>10</v>
      </c>
      <c r="D14" s="415">
        <v>68062</v>
      </c>
      <c r="E14" s="404">
        <v>69377</v>
      </c>
      <c r="F14" s="404">
        <v>71134</v>
      </c>
      <c r="G14" s="404">
        <v>75086</v>
      </c>
      <c r="H14" s="404">
        <v>75525</v>
      </c>
      <c r="I14" s="404">
        <v>76844</v>
      </c>
      <c r="J14" s="404">
        <v>78599</v>
      </c>
      <c r="K14" s="404">
        <v>79477</v>
      </c>
      <c r="L14" s="407">
        <v>81234</v>
      </c>
      <c r="M14" s="15"/>
    </row>
    <row r="15" spans="2:13" ht="15" customHeight="1" x14ac:dyDescent="0.25">
      <c r="C15" s="418">
        <v>11</v>
      </c>
      <c r="D15" s="415">
        <v>69377</v>
      </c>
      <c r="E15" s="404">
        <v>70694</v>
      </c>
      <c r="F15" s="404">
        <v>72890</v>
      </c>
      <c r="G15" s="404">
        <v>76844</v>
      </c>
      <c r="H15" s="404">
        <v>77721</v>
      </c>
      <c r="I15" s="404">
        <v>78599</v>
      </c>
      <c r="J15" s="404">
        <v>80794</v>
      </c>
      <c r="K15" s="404">
        <v>82112</v>
      </c>
      <c r="L15" s="407">
        <v>83429</v>
      </c>
      <c r="M15" s="15"/>
    </row>
    <row r="16" spans="2:13" ht="15" customHeight="1" x14ac:dyDescent="0.25">
      <c r="C16" s="418">
        <v>12</v>
      </c>
      <c r="D16" s="415">
        <v>70694</v>
      </c>
      <c r="E16" s="404">
        <v>72453</v>
      </c>
      <c r="F16" s="404">
        <v>74207</v>
      </c>
      <c r="G16" s="404">
        <v>78160</v>
      </c>
      <c r="H16" s="404">
        <v>79038</v>
      </c>
      <c r="I16" s="404">
        <v>80794</v>
      </c>
      <c r="J16" s="404">
        <v>82551</v>
      </c>
      <c r="K16" s="404">
        <v>84308</v>
      </c>
      <c r="L16" s="407">
        <v>86063</v>
      </c>
      <c r="M16" s="15"/>
    </row>
    <row r="17" spans="2:13" ht="15" customHeight="1" x14ac:dyDescent="0.25">
      <c r="C17" s="418">
        <v>13</v>
      </c>
      <c r="D17" s="415">
        <v>72014</v>
      </c>
      <c r="E17" s="404">
        <v>73329</v>
      </c>
      <c r="F17" s="404">
        <v>75525</v>
      </c>
      <c r="G17" s="404">
        <v>79477</v>
      </c>
      <c r="H17" s="404">
        <v>80794</v>
      </c>
      <c r="I17" s="404">
        <v>82551</v>
      </c>
      <c r="J17" s="404">
        <v>84746</v>
      </c>
      <c r="K17" s="404">
        <v>86063</v>
      </c>
      <c r="L17" s="407">
        <v>88697</v>
      </c>
      <c r="M17" s="15"/>
    </row>
    <row r="18" spans="2:13" ht="15" customHeight="1" x14ac:dyDescent="0.25">
      <c r="C18" s="418">
        <v>14</v>
      </c>
      <c r="D18" s="415">
        <v>72890</v>
      </c>
      <c r="E18" s="404">
        <v>74207</v>
      </c>
      <c r="F18" s="404">
        <v>77281</v>
      </c>
      <c r="G18" s="404">
        <v>81234</v>
      </c>
      <c r="H18" s="404">
        <v>82112</v>
      </c>
      <c r="I18" s="404">
        <v>84308</v>
      </c>
      <c r="J18" s="404">
        <v>86503</v>
      </c>
      <c r="K18" s="404">
        <v>87820</v>
      </c>
      <c r="L18" s="407">
        <v>90894</v>
      </c>
      <c r="M18" s="15"/>
    </row>
    <row r="19" spans="2:13" ht="15" customHeight="1" x14ac:dyDescent="0.25">
      <c r="C19" s="418">
        <v>15</v>
      </c>
      <c r="D19" s="415">
        <v>73768</v>
      </c>
      <c r="E19" s="404">
        <v>75086</v>
      </c>
      <c r="F19" s="404">
        <v>78160</v>
      </c>
      <c r="G19" s="404">
        <v>82551</v>
      </c>
      <c r="H19" s="404">
        <v>83429</v>
      </c>
      <c r="I19" s="404">
        <v>85625</v>
      </c>
      <c r="J19" s="404">
        <v>88697</v>
      </c>
      <c r="K19" s="404">
        <v>90014</v>
      </c>
      <c r="L19" s="407">
        <v>93528</v>
      </c>
      <c r="M19" s="15"/>
    </row>
    <row r="20" spans="2:13" ht="15" customHeight="1" x14ac:dyDescent="0.25">
      <c r="C20" s="418">
        <v>16</v>
      </c>
      <c r="D20" s="415">
        <v>73768</v>
      </c>
      <c r="E20" s="404">
        <v>75086</v>
      </c>
      <c r="F20" s="404">
        <v>78160</v>
      </c>
      <c r="G20" s="404">
        <v>82551</v>
      </c>
      <c r="H20" s="404">
        <v>83429</v>
      </c>
      <c r="I20" s="404">
        <v>85625</v>
      </c>
      <c r="J20" s="404">
        <v>88697</v>
      </c>
      <c r="K20" s="404">
        <v>90014</v>
      </c>
      <c r="L20" s="407">
        <v>93528</v>
      </c>
      <c r="M20" s="15"/>
    </row>
    <row r="21" spans="2:13" ht="15" customHeight="1" x14ac:dyDescent="0.25">
      <c r="C21" s="418">
        <v>17</v>
      </c>
      <c r="D21" s="415">
        <v>73768</v>
      </c>
      <c r="E21" s="404">
        <v>75086</v>
      </c>
      <c r="F21" s="404">
        <v>78160</v>
      </c>
      <c r="G21" s="404">
        <v>82551</v>
      </c>
      <c r="H21" s="404">
        <v>83429</v>
      </c>
      <c r="I21" s="404">
        <v>85625</v>
      </c>
      <c r="J21" s="404">
        <v>88697</v>
      </c>
      <c r="K21" s="404">
        <v>90014</v>
      </c>
      <c r="L21" s="407">
        <v>93528</v>
      </c>
      <c r="M21" s="15"/>
    </row>
    <row r="22" spans="2:13" ht="15" customHeight="1" x14ac:dyDescent="0.25">
      <c r="C22" s="418">
        <v>18</v>
      </c>
      <c r="D22" s="415">
        <v>73768</v>
      </c>
      <c r="E22" s="404">
        <v>75086</v>
      </c>
      <c r="F22" s="404">
        <v>78160</v>
      </c>
      <c r="G22" s="404">
        <v>82551</v>
      </c>
      <c r="H22" s="404">
        <v>83429</v>
      </c>
      <c r="I22" s="404">
        <v>85625</v>
      </c>
      <c r="J22" s="404">
        <v>88697</v>
      </c>
      <c r="K22" s="404">
        <v>90014</v>
      </c>
      <c r="L22" s="407">
        <v>93528</v>
      </c>
      <c r="M22" s="15"/>
    </row>
    <row r="23" spans="2:13" ht="15" customHeight="1" x14ac:dyDescent="0.25">
      <c r="C23" s="418">
        <v>19</v>
      </c>
      <c r="D23" s="415">
        <v>73768</v>
      </c>
      <c r="E23" s="404">
        <v>75086</v>
      </c>
      <c r="F23" s="404">
        <v>78160</v>
      </c>
      <c r="G23" s="404">
        <v>82551</v>
      </c>
      <c r="H23" s="404">
        <v>83429</v>
      </c>
      <c r="I23" s="404">
        <v>85625</v>
      </c>
      <c r="J23" s="404">
        <v>88697</v>
      </c>
      <c r="K23" s="404">
        <v>90014</v>
      </c>
      <c r="L23" s="407">
        <v>93528</v>
      </c>
      <c r="M23" s="15"/>
    </row>
    <row r="24" spans="2:13" ht="15" customHeight="1" thickBot="1" x14ac:dyDescent="0.3">
      <c r="C24" s="419">
        <v>20</v>
      </c>
      <c r="D24" s="416">
        <v>75525</v>
      </c>
      <c r="E24" s="408">
        <v>76844</v>
      </c>
      <c r="F24" s="408">
        <v>79916</v>
      </c>
      <c r="G24" s="408">
        <v>84308</v>
      </c>
      <c r="H24" s="408">
        <v>85185</v>
      </c>
      <c r="I24" s="408">
        <v>87382</v>
      </c>
      <c r="J24" s="408">
        <v>90455</v>
      </c>
      <c r="K24" s="408">
        <v>91773</v>
      </c>
      <c r="L24" s="409">
        <v>95285</v>
      </c>
      <c r="M24" s="15"/>
    </row>
    <row r="25" spans="2:13" s="19" customFormat="1" ht="15" customHeight="1" x14ac:dyDescent="0.3">
      <c r="C25" s="21"/>
      <c r="D25" s="23"/>
      <c r="E25" s="23"/>
      <c r="F25" s="23"/>
      <c r="G25" s="23"/>
      <c r="H25" s="23"/>
      <c r="I25" s="23"/>
      <c r="J25" s="23"/>
    </row>
    <row r="26" spans="2:13" s="19" customFormat="1" ht="15" customHeight="1" x14ac:dyDescent="0.3">
      <c r="C26" s="21"/>
      <c r="D26" s="23"/>
      <c r="E26" s="23"/>
      <c r="F26" s="23"/>
      <c r="G26" s="23"/>
      <c r="H26" s="23"/>
      <c r="I26" s="23"/>
      <c r="J26" s="23"/>
    </row>
    <row r="27" spans="2:13" s="19" customFormat="1" ht="15" customHeight="1" x14ac:dyDescent="0.3">
      <c r="C27" s="21"/>
      <c r="D27" s="23"/>
      <c r="E27" s="23"/>
      <c r="F27" s="23"/>
      <c r="G27" s="23"/>
      <c r="H27" s="23"/>
      <c r="I27" s="23"/>
      <c r="J27" s="23"/>
    </row>
    <row r="28" spans="2:13" s="19" customFormat="1" ht="15" customHeight="1" x14ac:dyDescent="0.3">
      <c r="C28" s="21"/>
      <c r="D28" s="23"/>
      <c r="E28" s="23"/>
      <c r="F28" s="23"/>
      <c r="G28" s="23"/>
      <c r="H28" s="23"/>
      <c r="I28" s="23"/>
      <c r="J28" s="23"/>
    </row>
    <row r="29" spans="2:13" s="19" customFormat="1" ht="15" customHeight="1" x14ac:dyDescent="0.3">
      <c r="C29" s="21"/>
      <c r="D29" s="23"/>
      <c r="E29" s="23"/>
      <c r="F29" s="23"/>
      <c r="G29" s="23"/>
      <c r="H29" s="23"/>
      <c r="I29" s="23"/>
      <c r="J29" s="23"/>
    </row>
    <row r="30" spans="2:13" s="19" customFormat="1" ht="15" customHeight="1" x14ac:dyDescent="0.3">
      <c r="C30" s="21"/>
      <c r="D30" s="23"/>
      <c r="E30" s="23"/>
      <c r="F30" s="23"/>
      <c r="G30" s="23"/>
      <c r="H30" s="23"/>
      <c r="I30" s="23"/>
      <c r="J30" s="23"/>
    </row>
    <row r="31" spans="2:13" s="19" customFormat="1" ht="15" customHeight="1" x14ac:dyDescent="0.3">
      <c r="B31" s="15"/>
      <c r="C31" s="21"/>
      <c r="D31" s="23"/>
      <c r="E31" s="23"/>
      <c r="F31" s="23"/>
      <c r="G31" s="23"/>
      <c r="H31" s="23"/>
      <c r="I31" s="23"/>
      <c r="J31" s="23"/>
    </row>
    <row r="32" spans="2:13" s="19" customFormat="1" ht="15" customHeight="1" x14ac:dyDescent="0.3">
      <c r="B32" s="15"/>
      <c r="C32" s="21"/>
      <c r="D32" s="23"/>
      <c r="E32" s="23"/>
      <c r="F32" s="23"/>
      <c r="G32" s="23"/>
      <c r="H32" s="23"/>
      <c r="I32" s="23"/>
      <c r="J32" s="23"/>
    </row>
    <row r="33" spans="2:10" s="19" customFormat="1" ht="15" customHeight="1" x14ac:dyDescent="0.3">
      <c r="B33" s="15"/>
      <c r="C33" s="21"/>
      <c r="D33" s="23"/>
      <c r="E33" s="23"/>
      <c r="F33" s="23"/>
      <c r="G33" s="23"/>
      <c r="H33" s="23"/>
      <c r="I33" s="23"/>
      <c r="J33" s="23"/>
    </row>
    <row r="34" spans="2:10" s="19" customFormat="1" ht="15" customHeight="1" x14ac:dyDescent="0.3">
      <c r="B34" s="15"/>
      <c r="C34" s="10"/>
    </row>
    <row r="35" spans="2:10" s="19" customFormat="1" ht="15" customHeight="1" x14ac:dyDescent="0.3">
      <c r="B35" s="15"/>
      <c r="C35" s="28"/>
    </row>
    <row r="36" spans="2:10" s="19" customFormat="1" ht="15" customHeight="1" x14ac:dyDescent="0.3">
      <c r="B36" s="15"/>
      <c r="C36" s="10"/>
    </row>
    <row r="37" spans="2:10" s="19" customFormat="1" ht="15" customHeight="1" x14ac:dyDescent="0.3">
      <c r="B37" s="15"/>
      <c r="C37" s="10"/>
      <c r="I37" s="10"/>
      <c r="J37" s="29"/>
    </row>
    <row r="38" spans="2:10" s="19" customFormat="1" ht="15" customHeight="1" x14ac:dyDescent="0.3">
      <c r="B38" s="15"/>
      <c r="C38" s="10"/>
    </row>
    <row r="39" spans="2:10" s="19" customFormat="1" ht="15" customHeight="1" x14ac:dyDescent="0.3">
      <c r="B39" s="15"/>
      <c r="C39" s="30"/>
    </row>
    <row r="40" spans="2:10" s="19" customFormat="1" ht="15" customHeight="1" x14ac:dyDescent="0.3">
      <c r="B40" s="15"/>
      <c r="C40" s="10"/>
    </row>
    <row r="41" spans="2:10" s="19" customFormat="1" ht="15" customHeight="1" x14ac:dyDescent="0.3">
      <c r="B41" s="15"/>
      <c r="C41" s="21"/>
      <c r="D41" s="21"/>
      <c r="E41" s="21"/>
      <c r="F41" s="21"/>
      <c r="G41" s="21"/>
      <c r="H41" s="21"/>
      <c r="I41" s="21"/>
      <c r="J41" s="21"/>
    </row>
    <row r="42" spans="2:10" s="19" customFormat="1" ht="15" customHeight="1" x14ac:dyDescent="0.3">
      <c r="B42" s="15"/>
      <c r="C42" s="21"/>
      <c r="D42" s="20"/>
    </row>
    <row r="43" spans="2:10" s="19" customFormat="1" ht="15" customHeight="1" x14ac:dyDescent="0.3">
      <c r="B43" s="15"/>
      <c r="C43" s="21"/>
      <c r="D43" s="26"/>
      <c r="E43" s="26"/>
      <c r="F43" s="26"/>
      <c r="G43" s="26"/>
      <c r="H43" s="26"/>
      <c r="I43" s="26"/>
      <c r="J43" s="26"/>
    </row>
    <row r="44" spans="2:10" s="19" customFormat="1" ht="15" customHeight="1" x14ac:dyDescent="0.3">
      <c r="B44" s="15"/>
      <c r="C44" s="21"/>
      <c r="D44" s="26"/>
      <c r="E44" s="26"/>
      <c r="F44" s="26"/>
      <c r="G44" s="26"/>
      <c r="H44" s="26"/>
      <c r="I44" s="26"/>
      <c r="J44" s="26"/>
    </row>
    <row r="45" spans="2:10" s="19" customFormat="1" ht="15" customHeight="1" x14ac:dyDescent="0.3">
      <c r="B45" s="15"/>
      <c r="C45" s="21"/>
      <c r="D45" s="26"/>
      <c r="E45" s="26"/>
      <c r="F45" s="26"/>
      <c r="G45" s="26"/>
      <c r="H45" s="26"/>
      <c r="I45" s="26"/>
      <c r="J45" s="26"/>
    </row>
    <row r="46" spans="2:10" s="19" customFormat="1" ht="15" customHeight="1" x14ac:dyDescent="0.3">
      <c r="B46" s="15"/>
      <c r="C46" s="21"/>
      <c r="D46" s="26"/>
      <c r="E46" s="26"/>
      <c r="F46" s="26"/>
      <c r="G46" s="26"/>
      <c r="H46" s="26"/>
      <c r="I46" s="26"/>
      <c r="J46" s="26"/>
    </row>
    <row r="47" spans="2:10" s="19" customFormat="1" ht="15" customHeight="1" x14ac:dyDescent="0.3">
      <c r="B47" s="15"/>
      <c r="C47" s="21"/>
      <c r="D47" s="26"/>
      <c r="E47" s="26"/>
      <c r="F47" s="26"/>
      <c r="G47" s="26"/>
      <c r="H47" s="26"/>
      <c r="I47" s="26"/>
      <c r="J47" s="26"/>
    </row>
    <row r="48" spans="2:10" s="19" customFormat="1" ht="15" customHeight="1" x14ac:dyDescent="0.3">
      <c r="B48" s="15"/>
      <c r="C48" s="21"/>
      <c r="D48" s="26"/>
      <c r="E48" s="26"/>
      <c r="F48" s="26"/>
      <c r="G48" s="26"/>
      <c r="H48" s="26"/>
      <c r="I48" s="26"/>
      <c r="J48" s="26"/>
    </row>
    <row r="49" spans="2:10" s="19" customFormat="1" ht="15" customHeight="1" x14ac:dyDescent="0.3">
      <c r="B49" s="15"/>
      <c r="C49" s="21"/>
      <c r="D49" s="26"/>
      <c r="E49" s="26"/>
      <c r="F49" s="26"/>
      <c r="G49" s="26"/>
      <c r="H49" s="26"/>
      <c r="I49" s="26"/>
      <c r="J49" s="26"/>
    </row>
    <row r="50" spans="2:10" s="19" customFormat="1" ht="15" customHeight="1" x14ac:dyDescent="0.3">
      <c r="B50" s="15"/>
      <c r="C50" s="21"/>
      <c r="D50" s="26"/>
      <c r="E50" s="26"/>
      <c r="F50" s="26"/>
      <c r="G50" s="26"/>
      <c r="H50" s="26"/>
      <c r="I50" s="26"/>
      <c r="J50" s="26"/>
    </row>
    <row r="51" spans="2:10" s="19" customFormat="1" ht="15" customHeight="1" x14ac:dyDescent="0.3">
      <c r="B51" s="15"/>
      <c r="C51" s="21"/>
      <c r="D51" s="26"/>
      <c r="E51" s="26"/>
      <c r="F51" s="26"/>
      <c r="G51" s="26"/>
      <c r="H51" s="26"/>
      <c r="I51" s="26"/>
      <c r="J51" s="26"/>
    </row>
    <row r="52" spans="2:10" s="19" customFormat="1" ht="15" customHeight="1" x14ac:dyDescent="0.3">
      <c r="B52" s="15"/>
      <c r="C52" s="21"/>
      <c r="D52" s="26"/>
      <c r="E52" s="26"/>
      <c r="F52" s="26"/>
      <c r="G52" s="26"/>
      <c r="H52" s="26"/>
      <c r="I52" s="26"/>
      <c r="J52" s="26"/>
    </row>
    <row r="53" spans="2:10" s="19" customFormat="1" ht="15" customHeight="1" x14ac:dyDescent="0.3">
      <c r="B53" s="15"/>
      <c r="C53" s="21"/>
      <c r="D53" s="26"/>
      <c r="E53" s="26"/>
      <c r="F53" s="26"/>
      <c r="G53" s="26"/>
      <c r="H53" s="26"/>
      <c r="I53" s="26"/>
      <c r="J53" s="26"/>
    </row>
    <row r="54" spans="2:10" s="19" customFormat="1" ht="15" customHeight="1" x14ac:dyDescent="0.3">
      <c r="B54" s="15"/>
      <c r="C54" s="21"/>
      <c r="D54" s="26"/>
      <c r="E54" s="26"/>
      <c r="F54" s="26"/>
      <c r="G54" s="26"/>
      <c r="H54" s="26"/>
      <c r="I54" s="26"/>
      <c r="J54" s="26"/>
    </row>
    <row r="55" spans="2:10" s="19" customFormat="1" ht="15" customHeight="1" x14ac:dyDescent="0.3">
      <c r="B55" s="15"/>
      <c r="C55" s="21"/>
      <c r="D55" s="26"/>
      <c r="E55" s="26"/>
      <c r="F55" s="26"/>
      <c r="G55" s="26"/>
      <c r="H55" s="26"/>
      <c r="I55" s="26"/>
      <c r="J55" s="26"/>
    </row>
    <row r="56" spans="2:10" s="19" customFormat="1" ht="15" customHeight="1" x14ac:dyDescent="0.3">
      <c r="B56" s="15"/>
      <c r="C56" s="21"/>
      <c r="D56" s="26"/>
      <c r="E56" s="26"/>
      <c r="F56" s="26"/>
      <c r="G56" s="26"/>
      <c r="H56" s="26"/>
      <c r="I56" s="26"/>
      <c r="J56" s="26"/>
    </row>
    <row r="57" spans="2:10" s="19" customFormat="1" ht="15" customHeight="1" x14ac:dyDescent="0.3">
      <c r="B57" s="15"/>
      <c r="C57" s="21"/>
      <c r="D57" s="26"/>
      <c r="E57" s="26"/>
      <c r="F57" s="26"/>
      <c r="G57" s="26"/>
      <c r="H57" s="26"/>
      <c r="I57" s="26"/>
      <c r="J57" s="26"/>
    </row>
    <row r="58" spans="2:10" s="19" customFormat="1" ht="15" customHeight="1" x14ac:dyDescent="0.3">
      <c r="B58" s="15"/>
      <c r="C58" s="21"/>
      <c r="D58" s="26"/>
      <c r="E58" s="26"/>
      <c r="F58" s="26"/>
      <c r="G58" s="26"/>
      <c r="H58" s="26"/>
      <c r="I58" s="26"/>
      <c r="J58" s="26"/>
    </row>
    <row r="59" spans="2:10" s="19" customFormat="1" ht="15" customHeight="1" x14ac:dyDescent="0.3">
      <c r="B59" s="15"/>
      <c r="C59" s="21"/>
      <c r="D59" s="26"/>
      <c r="E59" s="26"/>
      <c r="F59" s="26"/>
      <c r="G59" s="26"/>
      <c r="H59" s="26"/>
      <c r="I59" s="26"/>
      <c r="J59" s="26"/>
    </row>
    <row r="60" spans="2:10" s="19" customFormat="1" ht="15" customHeight="1" x14ac:dyDescent="0.3">
      <c r="B60" s="15"/>
      <c r="C60" s="21"/>
      <c r="D60" s="26"/>
      <c r="E60" s="26"/>
      <c r="F60" s="26"/>
      <c r="G60" s="26"/>
      <c r="H60" s="26"/>
      <c r="I60" s="26"/>
      <c r="J60" s="26"/>
    </row>
    <row r="61" spans="2:10" s="19" customFormat="1" ht="15" customHeight="1" x14ac:dyDescent="0.3">
      <c r="B61" s="15"/>
      <c r="C61" s="21"/>
      <c r="D61" s="26"/>
      <c r="E61" s="26"/>
      <c r="F61" s="26"/>
      <c r="G61" s="26"/>
      <c r="H61" s="26"/>
      <c r="I61" s="26"/>
      <c r="J61" s="26"/>
    </row>
    <row r="62" spans="2:10" s="19" customFormat="1" ht="15" customHeight="1" x14ac:dyDescent="0.3">
      <c r="B62" s="15"/>
      <c r="C62" s="21"/>
      <c r="D62" s="26"/>
      <c r="E62" s="26"/>
      <c r="F62" s="26"/>
      <c r="G62" s="26"/>
      <c r="H62" s="26"/>
      <c r="I62" s="26"/>
      <c r="J62" s="26"/>
    </row>
    <row r="63" spans="2:10" s="19" customFormat="1" ht="15" customHeight="1" x14ac:dyDescent="0.3">
      <c r="B63" s="15"/>
      <c r="C63" s="10"/>
    </row>
    <row r="64" spans="2:10" s="19" customFormat="1" ht="15" customHeight="1" x14ac:dyDescent="0.3">
      <c r="B64" s="15"/>
      <c r="C64" s="28"/>
      <c r="D64" s="27"/>
      <c r="E64" s="27"/>
      <c r="F64" s="27"/>
      <c r="G64" s="26"/>
      <c r="H64" s="26"/>
      <c r="I64" s="27"/>
      <c r="J64" s="27"/>
    </row>
    <row r="65" spans="2:10" s="19" customFormat="1" ht="15" customHeight="1" x14ac:dyDescent="0.3">
      <c r="B65" s="15"/>
      <c r="C65" s="10"/>
    </row>
    <row r="66" spans="2:10" s="19" customFormat="1" ht="15" customHeight="1" x14ac:dyDescent="0.3">
      <c r="B66" s="15"/>
      <c r="C66" s="10"/>
      <c r="I66" s="10"/>
      <c r="J66" s="13"/>
    </row>
  </sheetData>
  <mergeCells count="1">
    <mergeCell ref="B2:I2"/>
  </mergeCells>
  <printOptions horizontalCentered="1"/>
  <pageMargins left="0.7" right="0.7" top="0.75" bottom="0.75" header="0.3" footer="0.3"/>
  <pageSetup scale="52" orientation="landscape" r:id="rId1"/>
  <headerFooter alignWithMargins="0">
    <oddFooter>&amp;L&amp;"Arial,Bold"&amp;F &amp;C&amp;"Arial,Bold"&amp;D&amp;R&amp;"Arial,Bold"Appendix C-4</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C4552-17C0-44F4-8F32-D553683180F2}">
  <sheetPr codeName="Sheet37">
    <pageSetUpPr fitToPage="1"/>
  </sheetPr>
  <dimension ref="B1:M78"/>
  <sheetViews>
    <sheetView showGridLines="0" showZeros="0" view="pageLayout" zoomScaleNormal="120" workbookViewId="0">
      <selection activeCell="D5" sqref="D5:H30"/>
    </sheetView>
  </sheetViews>
  <sheetFormatPr defaultColWidth="11.26953125" defaultRowHeight="15" customHeight="1" x14ac:dyDescent="0.25"/>
  <cols>
    <col min="1" max="1" width="3.7265625" style="15" customWidth="1"/>
    <col min="2" max="2" width="6.81640625" style="15" customWidth="1"/>
    <col min="3" max="8" width="12.453125" style="19" customWidth="1"/>
    <col min="9" max="9" width="10.54296875" style="19" customWidth="1"/>
    <col min="10" max="10" width="8.26953125" style="19" customWidth="1"/>
    <col min="11" max="11" width="3.7265625" style="19" customWidth="1"/>
    <col min="12" max="13" width="11.26953125" style="19"/>
    <col min="14" max="16384" width="11.26953125" style="15"/>
  </cols>
  <sheetData>
    <row r="1" spans="2:13" ht="15" customHeight="1" thickBot="1" x14ac:dyDescent="0.35">
      <c r="C1" s="2"/>
      <c r="D1" s="15"/>
      <c r="E1" s="15"/>
      <c r="F1" s="15"/>
      <c r="G1" s="15"/>
      <c r="H1" s="15"/>
      <c r="I1" s="15"/>
      <c r="J1" s="15"/>
      <c r="K1" s="15"/>
      <c r="L1" s="15"/>
      <c r="M1" s="15"/>
    </row>
    <row r="2" spans="2:13" ht="20.149999999999999" customHeight="1" thickBot="1" x14ac:dyDescent="0.4">
      <c r="B2" s="526" t="s">
        <v>295</v>
      </c>
      <c r="C2" s="527"/>
      <c r="D2" s="527"/>
      <c r="E2" s="527"/>
      <c r="F2" s="527"/>
      <c r="G2" s="527"/>
      <c r="H2" s="527"/>
      <c r="I2" s="527"/>
      <c r="J2" s="270" t="str">
        <f>ACCUM!A3</f>
        <v>FY'23</v>
      </c>
      <c r="K2" s="15"/>
      <c r="L2" s="15"/>
      <c r="M2" s="15"/>
    </row>
    <row r="3" spans="2:13" ht="15" customHeight="1" thickBot="1" x14ac:dyDescent="0.35">
      <c r="C3" s="2"/>
      <c r="D3" s="15"/>
      <c r="E3" s="15"/>
      <c r="F3" s="15"/>
      <c r="G3" s="15"/>
      <c r="H3" s="15"/>
      <c r="I3" s="15"/>
      <c r="J3" s="15"/>
      <c r="K3" s="15"/>
      <c r="L3" s="15"/>
      <c r="M3" s="15"/>
    </row>
    <row r="4" spans="2:13" s="340" customFormat="1" ht="15" customHeight="1" thickBot="1" x14ac:dyDescent="0.3">
      <c r="C4" s="339" t="s">
        <v>82</v>
      </c>
      <c r="D4" s="421" t="s">
        <v>36</v>
      </c>
      <c r="E4" s="402" t="s">
        <v>69</v>
      </c>
      <c r="F4" s="413" t="s">
        <v>72</v>
      </c>
      <c r="G4" s="402" t="s">
        <v>247</v>
      </c>
      <c r="H4" s="402" t="s">
        <v>248</v>
      </c>
      <c r="I4" s="342"/>
      <c r="J4" s="342"/>
    </row>
    <row r="5" spans="2:13" ht="15" customHeight="1" x14ac:dyDescent="0.25">
      <c r="C5" s="417" t="s">
        <v>246</v>
      </c>
      <c r="D5" s="422">
        <v>51098</v>
      </c>
      <c r="E5" s="405">
        <v>60874</v>
      </c>
      <c r="F5" s="405">
        <v>64134</v>
      </c>
      <c r="G5" s="405">
        <v>66741</v>
      </c>
      <c r="H5" s="406">
        <v>69347</v>
      </c>
      <c r="I5" s="106"/>
      <c r="J5" s="106"/>
      <c r="K5" s="15"/>
      <c r="L5" s="15"/>
      <c r="M5" s="15"/>
    </row>
    <row r="6" spans="2:13" ht="15" customHeight="1" x14ac:dyDescent="0.25">
      <c r="C6" s="417">
        <v>1</v>
      </c>
      <c r="D6" s="415">
        <v>52271</v>
      </c>
      <c r="E6" s="404">
        <v>62047</v>
      </c>
      <c r="F6" s="404">
        <v>65307</v>
      </c>
      <c r="G6" s="404">
        <v>67914</v>
      </c>
      <c r="H6" s="407">
        <v>70521</v>
      </c>
      <c r="I6" s="106"/>
      <c r="J6" s="106"/>
      <c r="K6" s="15"/>
      <c r="L6" s="15"/>
      <c r="M6" s="290"/>
    </row>
    <row r="7" spans="2:13" ht="15" customHeight="1" x14ac:dyDescent="0.25">
      <c r="C7" s="418">
        <v>2</v>
      </c>
      <c r="D7" s="415">
        <v>53445</v>
      </c>
      <c r="E7" s="404">
        <v>63222</v>
      </c>
      <c r="F7" s="404">
        <v>66480</v>
      </c>
      <c r="G7" s="404">
        <v>69087</v>
      </c>
      <c r="H7" s="407">
        <v>71694</v>
      </c>
      <c r="I7" s="106"/>
      <c r="J7" s="106"/>
      <c r="K7" s="15"/>
      <c r="L7" s="15"/>
      <c r="M7" s="15"/>
    </row>
    <row r="8" spans="2:13" ht="15" customHeight="1" x14ac:dyDescent="0.25">
      <c r="C8" s="418">
        <v>3</v>
      </c>
      <c r="D8" s="415">
        <v>54618</v>
      </c>
      <c r="E8" s="404">
        <v>64395</v>
      </c>
      <c r="F8" s="404">
        <v>67653</v>
      </c>
      <c r="G8" s="404">
        <v>70260</v>
      </c>
      <c r="H8" s="407">
        <v>72868</v>
      </c>
      <c r="I8" s="106"/>
      <c r="J8" s="106"/>
      <c r="K8" s="15"/>
      <c r="L8" s="15"/>
      <c r="M8" s="15"/>
    </row>
    <row r="9" spans="2:13" ht="15" customHeight="1" x14ac:dyDescent="0.25">
      <c r="C9" s="418">
        <v>4</v>
      </c>
      <c r="D9" s="415">
        <v>55791</v>
      </c>
      <c r="E9" s="404">
        <v>65568</v>
      </c>
      <c r="F9" s="404">
        <v>68826</v>
      </c>
      <c r="G9" s="404">
        <v>71433</v>
      </c>
      <c r="H9" s="407">
        <v>74041</v>
      </c>
      <c r="I9" s="106"/>
      <c r="J9" s="106"/>
      <c r="K9" s="15"/>
      <c r="L9" s="15"/>
      <c r="M9" s="15"/>
    </row>
    <row r="10" spans="2:13" ht="15" customHeight="1" x14ac:dyDescent="0.25">
      <c r="C10" s="418">
        <v>5</v>
      </c>
      <c r="D10" s="415">
        <v>56964</v>
      </c>
      <c r="E10" s="404">
        <v>66731</v>
      </c>
      <c r="F10" s="404">
        <v>69999</v>
      </c>
      <c r="G10" s="404">
        <v>72607</v>
      </c>
      <c r="H10" s="407">
        <v>75214</v>
      </c>
      <c r="I10" s="106"/>
      <c r="J10" s="106"/>
      <c r="K10" s="15"/>
      <c r="L10" s="15"/>
      <c r="M10" s="15"/>
    </row>
    <row r="11" spans="2:13" ht="15" customHeight="1" x14ac:dyDescent="0.25">
      <c r="C11" s="418">
        <v>6</v>
      </c>
      <c r="D11" s="415">
        <v>58137</v>
      </c>
      <c r="E11" s="404">
        <v>67914</v>
      </c>
      <c r="F11" s="404">
        <v>71172</v>
      </c>
      <c r="G11" s="404">
        <v>73780</v>
      </c>
      <c r="H11" s="407">
        <v>76387</v>
      </c>
      <c r="I11" s="106"/>
      <c r="J11" s="106"/>
      <c r="K11" s="15"/>
      <c r="L11" s="15"/>
      <c r="M11" s="15"/>
    </row>
    <row r="12" spans="2:13" ht="15" customHeight="1" x14ac:dyDescent="0.25">
      <c r="C12" s="418">
        <v>7</v>
      </c>
      <c r="D12" s="415">
        <v>59310</v>
      </c>
      <c r="E12" s="404">
        <v>69087</v>
      </c>
      <c r="F12" s="404">
        <v>72346</v>
      </c>
      <c r="G12" s="404">
        <v>74953</v>
      </c>
      <c r="H12" s="407">
        <v>77560</v>
      </c>
      <c r="I12" s="106"/>
      <c r="J12" s="106"/>
      <c r="K12" s="15"/>
      <c r="L12" s="15"/>
      <c r="M12" s="15"/>
    </row>
    <row r="13" spans="2:13" ht="15" customHeight="1" x14ac:dyDescent="0.25">
      <c r="C13" s="418">
        <v>8</v>
      </c>
      <c r="D13" s="415">
        <v>60092</v>
      </c>
      <c r="E13" s="404">
        <v>70260</v>
      </c>
      <c r="F13" s="404">
        <v>73519</v>
      </c>
      <c r="G13" s="404">
        <v>76126</v>
      </c>
      <c r="H13" s="407">
        <v>78733</v>
      </c>
      <c r="I13" s="106"/>
      <c r="J13" s="106"/>
      <c r="K13" s="15"/>
      <c r="L13" s="15"/>
      <c r="M13" s="15"/>
    </row>
    <row r="14" spans="2:13" ht="15" customHeight="1" x14ac:dyDescent="0.25">
      <c r="C14" s="418">
        <v>9</v>
      </c>
      <c r="D14" s="415">
        <v>61656</v>
      </c>
      <c r="E14" s="404">
        <v>71433</v>
      </c>
      <c r="F14" s="404">
        <v>74692</v>
      </c>
      <c r="G14" s="404">
        <v>77299</v>
      </c>
      <c r="H14" s="407">
        <v>79906</v>
      </c>
      <c r="I14" s="106"/>
      <c r="J14" s="106"/>
      <c r="K14" s="15"/>
      <c r="L14" s="15"/>
      <c r="M14" s="15"/>
    </row>
    <row r="15" spans="2:13" ht="15" customHeight="1" x14ac:dyDescent="0.25">
      <c r="C15" s="418">
        <v>10</v>
      </c>
      <c r="D15" s="415">
        <v>62830</v>
      </c>
      <c r="E15" s="404">
        <v>72607</v>
      </c>
      <c r="F15" s="404">
        <v>75865</v>
      </c>
      <c r="G15" s="404">
        <v>78472</v>
      </c>
      <c r="H15" s="407">
        <v>81079</v>
      </c>
      <c r="I15" s="106"/>
      <c r="J15" s="106"/>
      <c r="K15" s="15"/>
      <c r="L15" s="15"/>
      <c r="M15" s="15"/>
    </row>
    <row r="16" spans="2:13" ht="15" customHeight="1" x14ac:dyDescent="0.25">
      <c r="C16" s="418">
        <v>11</v>
      </c>
      <c r="D16" s="415">
        <v>64004</v>
      </c>
      <c r="E16" s="404">
        <v>73780</v>
      </c>
      <c r="F16" s="404">
        <v>77038</v>
      </c>
      <c r="G16" s="404">
        <v>79645</v>
      </c>
      <c r="H16" s="407">
        <v>82253</v>
      </c>
      <c r="I16" s="106"/>
      <c r="J16" s="106"/>
      <c r="K16" s="15"/>
      <c r="L16" s="15"/>
      <c r="M16" s="15"/>
    </row>
    <row r="17" spans="3:13" ht="15" customHeight="1" x14ac:dyDescent="0.25">
      <c r="C17" s="418">
        <v>12</v>
      </c>
      <c r="D17" s="415">
        <v>65177</v>
      </c>
      <c r="E17" s="404">
        <v>74953</v>
      </c>
      <c r="F17" s="404">
        <v>78212</v>
      </c>
      <c r="G17" s="404">
        <v>80818</v>
      </c>
      <c r="H17" s="407">
        <v>83426</v>
      </c>
      <c r="I17" s="106"/>
      <c r="J17" s="106"/>
      <c r="K17" s="15"/>
      <c r="L17" s="15"/>
      <c r="M17" s="15"/>
    </row>
    <row r="18" spans="3:13" ht="15" customHeight="1" x14ac:dyDescent="0.25">
      <c r="C18" s="418">
        <v>13</v>
      </c>
      <c r="D18" s="415">
        <v>66350</v>
      </c>
      <c r="E18" s="404">
        <v>76126</v>
      </c>
      <c r="F18" s="404">
        <v>79385</v>
      </c>
      <c r="G18" s="404">
        <v>81992</v>
      </c>
      <c r="H18" s="407">
        <v>84599</v>
      </c>
      <c r="I18" s="106"/>
      <c r="J18" s="106"/>
      <c r="K18" s="15"/>
      <c r="L18" s="15"/>
      <c r="M18" s="15"/>
    </row>
    <row r="19" spans="3:13" ht="15" customHeight="1" x14ac:dyDescent="0.25">
      <c r="C19" s="418">
        <v>14</v>
      </c>
      <c r="D19" s="415">
        <v>67523</v>
      </c>
      <c r="E19" s="404">
        <v>77299</v>
      </c>
      <c r="F19" s="404">
        <v>80735</v>
      </c>
      <c r="G19" s="404">
        <v>83165</v>
      </c>
      <c r="H19" s="407">
        <v>85772</v>
      </c>
      <c r="I19" s="106"/>
      <c r="J19" s="106"/>
      <c r="K19" s="15"/>
      <c r="L19" s="15"/>
      <c r="M19" s="15"/>
    </row>
    <row r="20" spans="3:13" ht="15" customHeight="1" x14ac:dyDescent="0.25">
      <c r="C20" s="418">
        <v>15</v>
      </c>
      <c r="D20" s="415">
        <v>68696</v>
      </c>
      <c r="E20" s="404">
        <v>78472</v>
      </c>
      <c r="F20" s="404">
        <v>81732</v>
      </c>
      <c r="G20" s="404">
        <v>84338</v>
      </c>
      <c r="H20" s="407">
        <v>86945</v>
      </c>
      <c r="I20" s="106"/>
      <c r="J20" s="106"/>
      <c r="K20" s="15"/>
      <c r="L20" s="15"/>
      <c r="M20" s="15"/>
    </row>
    <row r="21" spans="3:13" ht="15" customHeight="1" x14ac:dyDescent="0.25">
      <c r="C21" s="418">
        <v>16</v>
      </c>
      <c r="D21" s="415">
        <v>69869</v>
      </c>
      <c r="E21" s="404">
        <v>79645</v>
      </c>
      <c r="F21" s="404">
        <v>82905</v>
      </c>
      <c r="G21" s="404">
        <v>85512</v>
      </c>
      <c r="H21" s="407">
        <v>88118</v>
      </c>
      <c r="I21" s="106"/>
      <c r="J21" s="106"/>
      <c r="K21" s="15"/>
      <c r="L21" s="15"/>
      <c r="M21" s="15"/>
    </row>
    <row r="22" spans="3:13" ht="15" customHeight="1" x14ac:dyDescent="0.25">
      <c r="C22" s="418">
        <v>17</v>
      </c>
      <c r="D22" s="415">
        <v>69869</v>
      </c>
      <c r="E22" s="404">
        <v>79645</v>
      </c>
      <c r="F22" s="404">
        <v>82905</v>
      </c>
      <c r="G22" s="404">
        <v>85512</v>
      </c>
      <c r="H22" s="407">
        <v>88118</v>
      </c>
      <c r="I22" s="106"/>
      <c r="J22" s="106"/>
      <c r="K22" s="15"/>
      <c r="L22" s="15"/>
      <c r="M22" s="15"/>
    </row>
    <row r="23" spans="3:13" ht="15" customHeight="1" x14ac:dyDescent="0.25">
      <c r="C23" s="418">
        <v>18</v>
      </c>
      <c r="D23" s="415">
        <v>69869</v>
      </c>
      <c r="E23" s="404">
        <v>79645</v>
      </c>
      <c r="F23" s="404">
        <v>82905</v>
      </c>
      <c r="G23" s="404">
        <v>85512</v>
      </c>
      <c r="H23" s="407">
        <v>88118</v>
      </c>
      <c r="I23" s="106"/>
      <c r="J23" s="106"/>
      <c r="K23" s="15"/>
      <c r="L23" s="15"/>
      <c r="M23" s="15"/>
    </row>
    <row r="24" spans="3:13" ht="15" customHeight="1" x14ac:dyDescent="0.25">
      <c r="C24" s="418">
        <v>19</v>
      </c>
      <c r="D24" s="415">
        <v>71042</v>
      </c>
      <c r="E24" s="404">
        <v>80818</v>
      </c>
      <c r="F24" s="404">
        <v>84078</v>
      </c>
      <c r="G24" s="404">
        <v>86685</v>
      </c>
      <c r="H24" s="407">
        <v>89291</v>
      </c>
      <c r="I24" s="106"/>
      <c r="J24" s="106"/>
      <c r="K24" s="15"/>
      <c r="L24" s="15"/>
      <c r="M24" s="15"/>
    </row>
    <row r="25" spans="3:13" ht="15" customHeight="1" x14ac:dyDescent="0.25">
      <c r="C25" s="418">
        <v>20</v>
      </c>
      <c r="D25" s="415">
        <v>71042</v>
      </c>
      <c r="E25" s="404">
        <v>80818</v>
      </c>
      <c r="F25" s="404">
        <v>84078</v>
      </c>
      <c r="G25" s="404">
        <v>86685</v>
      </c>
      <c r="H25" s="407">
        <v>89291</v>
      </c>
    </row>
    <row r="26" spans="3:13" ht="15" customHeight="1" x14ac:dyDescent="0.25">
      <c r="C26" s="418">
        <v>21</v>
      </c>
      <c r="D26" s="415">
        <v>71042</v>
      </c>
      <c r="E26" s="404">
        <v>80818</v>
      </c>
      <c r="F26" s="404">
        <v>84078</v>
      </c>
      <c r="G26" s="404">
        <v>86685</v>
      </c>
      <c r="H26" s="407">
        <v>89291</v>
      </c>
      <c r="I26" s="23"/>
      <c r="J26" s="23"/>
    </row>
    <row r="27" spans="3:13" ht="15" customHeight="1" x14ac:dyDescent="0.25">
      <c r="C27" s="418">
        <v>22</v>
      </c>
      <c r="D27" s="415">
        <v>72216</v>
      </c>
      <c r="E27" s="404">
        <v>81992</v>
      </c>
      <c r="F27" s="404">
        <v>85251</v>
      </c>
      <c r="G27" s="404">
        <v>87858</v>
      </c>
      <c r="H27" s="407">
        <v>90464</v>
      </c>
      <c r="I27" s="23"/>
      <c r="J27" s="23"/>
    </row>
    <row r="28" spans="3:13" ht="15" customHeight="1" x14ac:dyDescent="0.25">
      <c r="C28" s="418">
        <v>23</v>
      </c>
      <c r="D28" s="415">
        <v>72216</v>
      </c>
      <c r="E28" s="404">
        <v>81992</v>
      </c>
      <c r="F28" s="404">
        <v>85251</v>
      </c>
      <c r="G28" s="404">
        <v>87858</v>
      </c>
      <c r="H28" s="407">
        <v>90464</v>
      </c>
      <c r="I28" s="23"/>
      <c r="J28" s="23"/>
    </row>
    <row r="29" spans="3:13" ht="15" customHeight="1" x14ac:dyDescent="0.25">
      <c r="C29" s="418">
        <v>24</v>
      </c>
      <c r="D29" s="415">
        <v>72216</v>
      </c>
      <c r="E29" s="404">
        <v>81992</v>
      </c>
      <c r="F29" s="404">
        <v>85251</v>
      </c>
      <c r="G29" s="404">
        <v>87858</v>
      </c>
      <c r="H29" s="407">
        <v>90464</v>
      </c>
      <c r="I29" s="23"/>
      <c r="J29" s="23"/>
    </row>
    <row r="30" spans="3:13" ht="15" customHeight="1" thickBot="1" x14ac:dyDescent="0.3">
      <c r="C30" s="419">
        <v>25</v>
      </c>
      <c r="D30" s="416">
        <v>74562</v>
      </c>
      <c r="E30" s="408">
        <v>84338</v>
      </c>
      <c r="F30" s="408">
        <v>87597</v>
      </c>
      <c r="G30" s="408">
        <v>90204</v>
      </c>
      <c r="H30" s="409">
        <v>92812</v>
      </c>
      <c r="I30" s="23"/>
      <c r="J30" s="23"/>
    </row>
    <row r="31" spans="3:13" ht="15" customHeight="1" x14ac:dyDescent="0.3">
      <c r="C31" s="21"/>
      <c r="D31" s="23"/>
      <c r="E31" s="23"/>
      <c r="F31" s="23"/>
      <c r="G31" s="23"/>
      <c r="H31" s="23"/>
      <c r="I31" s="23"/>
      <c r="J31" s="23"/>
    </row>
    <row r="32" spans="3:13" ht="15" customHeight="1" x14ac:dyDescent="0.3">
      <c r="C32" s="21"/>
      <c r="D32" s="23"/>
      <c r="E32" s="23"/>
      <c r="F32" s="23"/>
      <c r="G32" s="23"/>
      <c r="H32" s="23"/>
      <c r="I32" s="23"/>
      <c r="J32" s="23"/>
    </row>
    <row r="33" spans="3:10" ht="15" customHeight="1" x14ac:dyDescent="0.3">
      <c r="C33" s="21"/>
      <c r="D33" s="23"/>
      <c r="E33" s="23"/>
      <c r="F33" s="23"/>
      <c r="G33" s="23"/>
      <c r="H33" s="23"/>
      <c r="I33" s="23"/>
      <c r="J33" s="23"/>
    </row>
    <row r="34" spans="3:10" ht="15" customHeight="1" x14ac:dyDescent="0.3">
      <c r="C34" s="21"/>
      <c r="D34" s="23"/>
      <c r="E34" s="23"/>
      <c r="F34" s="23"/>
      <c r="G34" s="23"/>
      <c r="H34" s="23"/>
      <c r="I34" s="23"/>
      <c r="J34" s="23"/>
    </row>
    <row r="35" spans="3:10" ht="15" customHeight="1" x14ac:dyDescent="0.3">
      <c r="C35" s="21"/>
      <c r="D35" s="23"/>
      <c r="E35" s="23"/>
      <c r="F35" s="23"/>
      <c r="G35" s="23"/>
      <c r="H35" s="23"/>
      <c r="I35" s="23"/>
      <c r="J35" s="23"/>
    </row>
    <row r="36" spans="3:10" ht="15" customHeight="1" x14ac:dyDescent="0.3">
      <c r="C36" s="21"/>
      <c r="D36" s="23"/>
      <c r="E36" s="23"/>
      <c r="F36" s="23"/>
      <c r="G36" s="23"/>
      <c r="H36" s="23"/>
      <c r="I36" s="23"/>
      <c r="J36" s="23"/>
    </row>
    <row r="37" spans="3:10" ht="15" customHeight="1" x14ac:dyDescent="0.3">
      <c r="C37" s="21"/>
      <c r="D37" s="23"/>
      <c r="E37" s="23"/>
      <c r="F37" s="23"/>
      <c r="G37" s="23"/>
      <c r="H37" s="23"/>
      <c r="I37" s="23"/>
      <c r="J37" s="23"/>
    </row>
    <row r="38" spans="3:10" ht="15" customHeight="1" x14ac:dyDescent="0.3">
      <c r="C38" s="21"/>
      <c r="D38" s="23"/>
      <c r="E38" s="23"/>
      <c r="F38" s="23"/>
      <c r="G38" s="23"/>
      <c r="H38" s="23"/>
      <c r="I38" s="23"/>
      <c r="J38" s="23"/>
    </row>
    <row r="39" spans="3:10" ht="15" customHeight="1" x14ac:dyDescent="0.3">
      <c r="C39" s="21"/>
      <c r="D39" s="23"/>
      <c r="E39" s="23"/>
      <c r="F39" s="23"/>
      <c r="G39" s="23"/>
      <c r="H39" s="23"/>
      <c r="I39" s="23"/>
      <c r="J39" s="23"/>
    </row>
    <row r="40" spans="3:10" ht="15" customHeight="1" x14ac:dyDescent="0.3">
      <c r="C40" s="21"/>
      <c r="D40" s="23"/>
      <c r="E40" s="23"/>
      <c r="F40" s="23"/>
      <c r="G40" s="23"/>
      <c r="H40" s="23"/>
      <c r="I40" s="23"/>
      <c r="J40" s="23"/>
    </row>
    <row r="41" spans="3:10" ht="15" customHeight="1" x14ac:dyDescent="0.3">
      <c r="C41" s="21"/>
      <c r="D41" s="23"/>
      <c r="E41" s="23"/>
      <c r="F41" s="23"/>
      <c r="G41" s="23"/>
      <c r="H41" s="23"/>
      <c r="I41" s="23"/>
      <c r="J41" s="23"/>
    </row>
    <row r="42" spans="3:10" ht="15" customHeight="1" x14ac:dyDescent="0.3">
      <c r="C42" s="21"/>
      <c r="D42" s="23"/>
      <c r="E42" s="23"/>
      <c r="F42" s="23"/>
      <c r="G42" s="23"/>
      <c r="H42" s="23"/>
      <c r="I42" s="23"/>
      <c r="J42" s="23"/>
    </row>
    <row r="43" spans="3:10" ht="15" customHeight="1" x14ac:dyDescent="0.3">
      <c r="C43" s="21"/>
      <c r="D43" s="23"/>
      <c r="E43" s="23"/>
      <c r="F43" s="23"/>
      <c r="G43" s="23"/>
      <c r="H43" s="23"/>
      <c r="I43" s="23"/>
      <c r="J43" s="23"/>
    </row>
    <row r="44" spans="3:10" ht="15" customHeight="1" x14ac:dyDescent="0.3">
      <c r="C44" s="21"/>
      <c r="D44" s="23"/>
      <c r="E44" s="23"/>
      <c r="F44" s="23"/>
      <c r="G44" s="23"/>
      <c r="H44" s="23"/>
      <c r="I44" s="23"/>
      <c r="J44" s="23"/>
    </row>
    <row r="45" spans="3:10" ht="15" customHeight="1" x14ac:dyDescent="0.3">
      <c r="C45" s="21"/>
      <c r="D45" s="23"/>
      <c r="E45" s="23"/>
      <c r="F45" s="23"/>
      <c r="G45" s="23"/>
      <c r="H45" s="23"/>
      <c r="I45" s="23"/>
      <c r="J45" s="23"/>
    </row>
    <row r="46" spans="3:10" ht="15" customHeight="1" x14ac:dyDescent="0.3">
      <c r="C46" s="10"/>
    </row>
    <row r="47" spans="3:10" ht="15" customHeight="1" x14ac:dyDescent="0.3">
      <c r="C47" s="28"/>
    </row>
    <row r="48" spans="3:10" ht="15" customHeight="1" x14ac:dyDescent="0.3">
      <c r="C48" s="10"/>
    </row>
    <row r="49" spans="3:10" ht="15" customHeight="1" x14ac:dyDescent="0.3">
      <c r="C49" s="10"/>
      <c r="I49" s="10"/>
      <c r="J49" s="29"/>
    </row>
    <row r="50" spans="3:10" ht="15" customHeight="1" x14ac:dyDescent="0.3">
      <c r="C50" s="10"/>
    </row>
    <row r="51" spans="3:10" ht="15" customHeight="1" x14ac:dyDescent="0.3">
      <c r="C51" s="30"/>
    </row>
    <row r="52" spans="3:10" ht="15" customHeight="1" x14ac:dyDescent="0.3">
      <c r="C52" s="10"/>
    </row>
    <row r="53" spans="3:10" ht="15" customHeight="1" x14ac:dyDescent="0.3">
      <c r="C53" s="21"/>
      <c r="D53" s="21"/>
      <c r="E53" s="21"/>
      <c r="F53" s="21"/>
      <c r="G53" s="21"/>
      <c r="H53" s="21"/>
      <c r="I53" s="21"/>
      <c r="J53" s="21"/>
    </row>
    <row r="54" spans="3:10" ht="15" customHeight="1" x14ac:dyDescent="0.3">
      <c r="C54" s="21"/>
      <c r="D54" s="20"/>
    </row>
    <row r="55" spans="3:10" ht="15" customHeight="1" x14ac:dyDescent="0.3">
      <c r="C55" s="21"/>
      <c r="D55" s="26"/>
      <c r="E55" s="26"/>
      <c r="F55" s="26"/>
      <c r="G55" s="26"/>
      <c r="H55" s="26"/>
      <c r="I55" s="26"/>
      <c r="J55" s="26"/>
    </row>
    <row r="56" spans="3:10" ht="15" customHeight="1" x14ac:dyDescent="0.3">
      <c r="C56" s="21"/>
      <c r="D56" s="26"/>
      <c r="E56" s="26"/>
      <c r="F56" s="26"/>
      <c r="G56" s="26"/>
      <c r="H56" s="26"/>
      <c r="I56" s="26"/>
      <c r="J56" s="26"/>
    </row>
    <row r="57" spans="3:10" ht="15" customHeight="1" x14ac:dyDescent="0.3">
      <c r="C57" s="21"/>
      <c r="D57" s="26"/>
      <c r="E57" s="26"/>
      <c r="F57" s="26"/>
      <c r="G57" s="26"/>
      <c r="H57" s="26"/>
      <c r="I57" s="26"/>
      <c r="J57" s="26"/>
    </row>
    <row r="58" spans="3:10" ht="15" customHeight="1" x14ac:dyDescent="0.3">
      <c r="C58" s="21"/>
      <c r="D58" s="26"/>
      <c r="E58" s="26"/>
      <c r="F58" s="26"/>
      <c r="G58" s="26"/>
      <c r="H58" s="26"/>
      <c r="I58" s="26"/>
      <c r="J58" s="26"/>
    </row>
    <row r="59" spans="3:10" ht="15" customHeight="1" x14ac:dyDescent="0.3">
      <c r="C59" s="21"/>
      <c r="D59" s="26"/>
      <c r="E59" s="26"/>
      <c r="F59" s="26"/>
      <c r="G59" s="26"/>
      <c r="H59" s="26"/>
      <c r="I59" s="26"/>
      <c r="J59" s="26"/>
    </row>
    <row r="60" spans="3:10" ht="15" customHeight="1" x14ac:dyDescent="0.3">
      <c r="C60" s="21"/>
      <c r="D60" s="26"/>
      <c r="E60" s="26"/>
      <c r="F60" s="26"/>
      <c r="G60" s="26"/>
      <c r="H60" s="26"/>
      <c r="I60" s="26"/>
      <c r="J60" s="26"/>
    </row>
    <row r="61" spans="3:10" ht="15" customHeight="1" x14ac:dyDescent="0.3">
      <c r="C61" s="21"/>
      <c r="D61" s="26"/>
      <c r="E61" s="26"/>
      <c r="F61" s="26"/>
      <c r="G61" s="26"/>
      <c r="H61" s="26"/>
      <c r="I61" s="26"/>
      <c r="J61" s="26"/>
    </row>
    <row r="62" spans="3:10" ht="15" customHeight="1" x14ac:dyDescent="0.3">
      <c r="C62" s="21"/>
      <c r="D62" s="26"/>
      <c r="E62" s="26"/>
      <c r="F62" s="26"/>
      <c r="G62" s="26"/>
      <c r="H62" s="26"/>
      <c r="I62" s="26"/>
      <c r="J62" s="26"/>
    </row>
    <row r="63" spans="3:10" ht="15" customHeight="1" x14ac:dyDescent="0.3">
      <c r="C63" s="21"/>
      <c r="D63" s="26"/>
      <c r="E63" s="26"/>
      <c r="F63" s="26"/>
      <c r="G63" s="26"/>
      <c r="H63" s="26"/>
      <c r="I63" s="26"/>
      <c r="J63" s="26"/>
    </row>
    <row r="64" spans="3:10" ht="15" customHeight="1" x14ac:dyDescent="0.3">
      <c r="C64" s="21"/>
      <c r="D64" s="26"/>
      <c r="E64" s="26"/>
      <c r="F64" s="26"/>
      <c r="G64" s="26"/>
      <c r="H64" s="26"/>
      <c r="I64" s="26"/>
      <c r="J64" s="26"/>
    </row>
    <row r="65" spans="3:10" ht="15" customHeight="1" x14ac:dyDescent="0.3">
      <c r="C65" s="21"/>
      <c r="D65" s="26"/>
      <c r="E65" s="26"/>
      <c r="F65" s="26"/>
      <c r="G65" s="26"/>
      <c r="H65" s="26"/>
      <c r="I65" s="26"/>
      <c r="J65" s="26"/>
    </row>
    <row r="66" spans="3:10" ht="15" customHeight="1" x14ac:dyDescent="0.3">
      <c r="C66" s="21"/>
      <c r="D66" s="26"/>
      <c r="E66" s="26"/>
      <c r="F66" s="26"/>
      <c r="G66" s="26"/>
      <c r="H66" s="26"/>
      <c r="I66" s="26"/>
      <c r="J66" s="26"/>
    </row>
    <row r="67" spans="3:10" ht="15" customHeight="1" x14ac:dyDescent="0.3">
      <c r="C67" s="21"/>
      <c r="D67" s="26"/>
      <c r="E67" s="26"/>
      <c r="F67" s="26"/>
      <c r="G67" s="26"/>
      <c r="H67" s="26"/>
      <c r="I67" s="26"/>
      <c r="J67" s="26"/>
    </row>
    <row r="68" spans="3:10" ht="15" customHeight="1" x14ac:dyDescent="0.3">
      <c r="C68" s="21"/>
      <c r="D68" s="26"/>
      <c r="E68" s="26"/>
      <c r="F68" s="26"/>
      <c r="G68" s="26"/>
      <c r="H68" s="26"/>
      <c r="I68" s="26"/>
      <c r="J68" s="26"/>
    </row>
    <row r="69" spans="3:10" ht="15" customHeight="1" x14ac:dyDescent="0.3">
      <c r="C69" s="21"/>
      <c r="D69" s="26"/>
      <c r="E69" s="26"/>
      <c r="F69" s="26"/>
      <c r="G69" s="26"/>
      <c r="H69" s="26"/>
      <c r="I69" s="26"/>
      <c r="J69" s="26"/>
    </row>
    <row r="70" spans="3:10" ht="15" customHeight="1" x14ac:dyDescent="0.3">
      <c r="C70" s="21"/>
      <c r="D70" s="26"/>
      <c r="E70" s="26"/>
      <c r="F70" s="26"/>
      <c r="G70" s="26"/>
      <c r="H70" s="26"/>
      <c r="I70" s="26"/>
      <c r="J70" s="26"/>
    </row>
    <row r="71" spans="3:10" ht="15" customHeight="1" x14ac:dyDescent="0.3">
      <c r="C71" s="21"/>
      <c r="D71" s="26"/>
      <c r="E71" s="26"/>
      <c r="F71" s="26"/>
      <c r="G71" s="26"/>
      <c r="H71" s="26"/>
      <c r="I71" s="26"/>
      <c r="J71" s="26"/>
    </row>
    <row r="72" spans="3:10" ht="15" customHeight="1" x14ac:dyDescent="0.3">
      <c r="C72" s="21"/>
      <c r="D72" s="26"/>
      <c r="E72" s="26"/>
      <c r="F72" s="26"/>
      <c r="G72" s="26"/>
      <c r="H72" s="26"/>
      <c r="I72" s="26"/>
      <c r="J72" s="26"/>
    </row>
    <row r="73" spans="3:10" ht="15" customHeight="1" x14ac:dyDescent="0.3">
      <c r="C73" s="21"/>
      <c r="D73" s="26"/>
      <c r="E73" s="26"/>
      <c r="F73" s="26"/>
      <c r="G73" s="26"/>
      <c r="H73" s="26"/>
      <c r="I73" s="26"/>
      <c r="J73" s="26"/>
    </row>
    <row r="74" spans="3:10" ht="15" customHeight="1" x14ac:dyDescent="0.3">
      <c r="C74" s="21"/>
      <c r="D74" s="26"/>
      <c r="E74" s="26"/>
      <c r="F74" s="26"/>
      <c r="G74" s="26"/>
      <c r="H74" s="26"/>
      <c r="I74" s="26"/>
      <c r="J74" s="26"/>
    </row>
    <row r="75" spans="3:10" ht="15" customHeight="1" x14ac:dyDescent="0.3">
      <c r="C75" s="10"/>
    </row>
    <row r="76" spans="3:10" ht="15" customHeight="1" x14ac:dyDescent="0.3">
      <c r="C76" s="28"/>
      <c r="D76" s="27"/>
      <c r="E76" s="27"/>
      <c r="F76" s="27"/>
      <c r="G76" s="26"/>
      <c r="H76" s="26"/>
      <c r="I76" s="27"/>
      <c r="J76" s="27"/>
    </row>
    <row r="77" spans="3:10" ht="15" customHeight="1" x14ac:dyDescent="0.3">
      <c r="C77" s="10"/>
    </row>
    <row r="78" spans="3:10" ht="15" customHeight="1" x14ac:dyDescent="0.3">
      <c r="C78" s="10"/>
      <c r="I78" s="10"/>
      <c r="J78" s="13"/>
    </row>
  </sheetData>
  <mergeCells count="1">
    <mergeCell ref="B2:I2"/>
  </mergeCells>
  <printOptions horizontalCentered="1"/>
  <pageMargins left="0.7" right="0.7" top="0.75" bottom="0.75" header="0.3" footer="0.3"/>
  <pageSetup scale="95" orientation="landscape" r:id="rId1"/>
  <headerFooter alignWithMargins="0">
    <oddFooter>&amp;L&amp;"Arial,Bold"&amp;F &amp;C&amp;"Arial,Bold"&amp;D&amp;R&amp;"Arial,Bold"Appendix C-5</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708D-EB5E-4FA6-B2C1-5E9F505B142A}">
  <sheetPr codeName="Sheet34">
    <tabColor rgb="FFFFFF00"/>
    <pageSetUpPr fitToPage="1"/>
  </sheetPr>
  <dimension ref="B1:L72"/>
  <sheetViews>
    <sheetView showGridLines="0" showZeros="0" view="pageLayout" zoomScaleNormal="120" workbookViewId="0">
      <selection activeCell="H28" sqref="H28"/>
    </sheetView>
  </sheetViews>
  <sheetFormatPr defaultColWidth="10.26953125" defaultRowHeight="15" customHeight="1" x14ac:dyDescent="0.25"/>
  <cols>
    <col min="1" max="1" width="3.7265625" style="15" customWidth="1"/>
    <col min="2" max="11" width="12.453125" style="19" customWidth="1"/>
    <col min="12" max="12" width="10.26953125" style="19"/>
    <col min="13" max="16384" width="10.26953125" style="15"/>
  </cols>
  <sheetData>
    <row r="1" spans="2:12" ht="15" customHeight="1" thickBot="1" x14ac:dyDescent="0.35">
      <c r="B1" s="2"/>
      <c r="C1" s="15"/>
      <c r="D1" s="15"/>
      <c r="E1" s="15"/>
      <c r="F1" s="15"/>
      <c r="G1" s="15"/>
      <c r="H1" s="15"/>
      <c r="I1" s="15"/>
      <c r="J1" s="15"/>
      <c r="K1" s="15"/>
      <c r="L1" s="15"/>
    </row>
    <row r="2" spans="2:12" ht="19.5" customHeight="1" thickBot="1" x14ac:dyDescent="0.4">
      <c r="B2" s="268" t="s">
        <v>254</v>
      </c>
      <c r="C2" s="272"/>
      <c r="D2" s="272"/>
      <c r="E2" s="272"/>
      <c r="F2" s="272"/>
      <c r="G2" s="272"/>
      <c r="H2" s="272"/>
      <c r="I2" s="316"/>
      <c r="J2" s="317"/>
      <c r="K2" s="270" t="str">
        <f>ACCUM!A3</f>
        <v>FY'23</v>
      </c>
      <c r="L2" s="15"/>
    </row>
    <row r="3" spans="2:12" ht="15" customHeight="1" thickBot="1" x14ac:dyDescent="0.35">
      <c r="B3" s="2"/>
      <c r="C3" s="15"/>
      <c r="D3" s="15"/>
      <c r="E3" s="15"/>
      <c r="F3" s="15"/>
      <c r="G3" s="15"/>
      <c r="H3" s="15"/>
      <c r="I3" s="15"/>
      <c r="J3" s="15"/>
      <c r="K3" s="15"/>
      <c r="L3" s="15"/>
    </row>
    <row r="4" spans="2:12" s="340" customFormat="1" ht="15" customHeight="1" thickBot="1" x14ac:dyDescent="0.3">
      <c r="B4" s="339" t="s">
        <v>82</v>
      </c>
      <c r="C4" s="421" t="s">
        <v>36</v>
      </c>
      <c r="D4" s="402" t="s">
        <v>37</v>
      </c>
      <c r="E4" s="413" t="s">
        <v>38</v>
      </c>
      <c r="F4" s="402" t="s">
        <v>69</v>
      </c>
      <c r="G4" s="402" t="s">
        <v>70</v>
      </c>
      <c r="H4" s="423" t="s">
        <v>71</v>
      </c>
      <c r="I4" s="423" t="s">
        <v>72</v>
      </c>
      <c r="J4" s="423" t="s">
        <v>247</v>
      </c>
      <c r="K4" s="423" t="s">
        <v>248</v>
      </c>
    </row>
    <row r="5" spans="2:12" ht="15" customHeight="1" x14ac:dyDescent="0.25">
      <c r="B5" s="417">
        <v>1</v>
      </c>
      <c r="C5" s="422">
        <v>47107</v>
      </c>
      <c r="D5" s="405">
        <v>47107</v>
      </c>
      <c r="E5" s="405">
        <v>47107</v>
      </c>
      <c r="F5" s="405">
        <v>51817</v>
      </c>
      <c r="G5" s="405">
        <v>51817</v>
      </c>
      <c r="H5" s="405">
        <v>51817</v>
      </c>
      <c r="I5" s="405">
        <v>51817</v>
      </c>
      <c r="J5" s="405">
        <v>51817</v>
      </c>
      <c r="K5" s="406">
        <v>51817</v>
      </c>
      <c r="L5" s="15"/>
    </row>
    <row r="6" spans="2:12" ht="15" customHeight="1" x14ac:dyDescent="0.25">
      <c r="B6" s="417">
        <v>2</v>
      </c>
      <c r="C6" s="415">
        <v>49462</v>
      </c>
      <c r="D6" s="404">
        <v>50405</v>
      </c>
      <c r="E6" s="404">
        <v>51817</v>
      </c>
      <c r="F6" s="404">
        <v>54174</v>
      </c>
      <c r="G6" s="404">
        <v>54644</v>
      </c>
      <c r="H6" s="404">
        <v>54644</v>
      </c>
      <c r="I6" s="404">
        <v>54644</v>
      </c>
      <c r="J6" s="404">
        <v>54644</v>
      </c>
      <c r="K6" s="407">
        <v>54644</v>
      </c>
      <c r="L6" s="290"/>
    </row>
    <row r="7" spans="2:12" ht="15" customHeight="1" x14ac:dyDescent="0.25">
      <c r="B7" s="418">
        <v>3</v>
      </c>
      <c r="C7" s="415">
        <v>51817</v>
      </c>
      <c r="D7" s="404">
        <v>52759</v>
      </c>
      <c r="E7" s="404">
        <v>54174</v>
      </c>
      <c r="F7" s="404">
        <v>56529</v>
      </c>
      <c r="G7" s="404">
        <v>56999</v>
      </c>
      <c r="H7" s="404">
        <v>57470</v>
      </c>
      <c r="I7" s="404">
        <v>57470</v>
      </c>
      <c r="J7" s="404">
        <v>57470</v>
      </c>
      <c r="K7" s="407">
        <v>57470</v>
      </c>
      <c r="L7" s="15"/>
    </row>
    <row r="8" spans="2:12" ht="15" customHeight="1" x14ac:dyDescent="0.25">
      <c r="B8" s="418">
        <v>4</v>
      </c>
      <c r="C8" s="415">
        <v>54174</v>
      </c>
      <c r="D8" s="404">
        <v>55116</v>
      </c>
      <c r="E8" s="404">
        <v>56529</v>
      </c>
      <c r="F8" s="404">
        <v>58885</v>
      </c>
      <c r="G8" s="404">
        <v>59355</v>
      </c>
      <c r="H8" s="404">
        <v>59826</v>
      </c>
      <c r="I8" s="404">
        <v>61239</v>
      </c>
      <c r="J8" s="404">
        <v>62182</v>
      </c>
      <c r="K8" s="407">
        <v>62182</v>
      </c>
      <c r="L8" s="15"/>
    </row>
    <row r="9" spans="2:12" ht="15" customHeight="1" x14ac:dyDescent="0.25">
      <c r="B9" s="418">
        <v>5</v>
      </c>
      <c r="C9" s="415">
        <v>56529</v>
      </c>
      <c r="D9" s="404">
        <v>57470</v>
      </c>
      <c r="E9" s="404">
        <v>58885</v>
      </c>
      <c r="F9" s="404">
        <v>61239</v>
      </c>
      <c r="G9" s="404">
        <v>61712</v>
      </c>
      <c r="H9" s="404">
        <v>62182</v>
      </c>
      <c r="I9" s="404">
        <v>63594</v>
      </c>
      <c r="J9" s="404">
        <v>64536</v>
      </c>
      <c r="K9" s="407">
        <v>65951</v>
      </c>
      <c r="L9" s="15"/>
    </row>
    <row r="10" spans="2:12" ht="15" customHeight="1" x14ac:dyDescent="0.25">
      <c r="B10" s="418">
        <v>6</v>
      </c>
      <c r="C10" s="415">
        <v>58885</v>
      </c>
      <c r="D10" s="404">
        <v>59826</v>
      </c>
      <c r="E10" s="404">
        <v>61239</v>
      </c>
      <c r="F10" s="404">
        <v>63594</v>
      </c>
      <c r="G10" s="404">
        <v>64066</v>
      </c>
      <c r="H10" s="404">
        <v>64536</v>
      </c>
      <c r="I10" s="404">
        <v>65951</v>
      </c>
      <c r="J10" s="404">
        <v>66893</v>
      </c>
      <c r="K10" s="407">
        <v>68305</v>
      </c>
      <c r="L10" s="15"/>
    </row>
    <row r="11" spans="2:12" ht="15" customHeight="1" x14ac:dyDescent="0.25">
      <c r="B11" s="418">
        <v>7</v>
      </c>
      <c r="C11" s="415">
        <v>60769</v>
      </c>
      <c r="D11" s="404">
        <v>61712</v>
      </c>
      <c r="E11" s="404">
        <v>63124</v>
      </c>
      <c r="F11" s="404">
        <v>65951</v>
      </c>
      <c r="G11" s="404">
        <v>66421</v>
      </c>
      <c r="H11" s="404">
        <v>66893</v>
      </c>
      <c r="I11" s="404">
        <v>68305</v>
      </c>
      <c r="J11" s="404">
        <v>69247</v>
      </c>
      <c r="K11" s="407">
        <v>70662</v>
      </c>
      <c r="L11" s="15"/>
    </row>
    <row r="12" spans="2:12" ht="15" customHeight="1" x14ac:dyDescent="0.25">
      <c r="B12" s="418">
        <v>8</v>
      </c>
      <c r="C12" s="415">
        <v>62182</v>
      </c>
      <c r="D12" s="404">
        <v>63594</v>
      </c>
      <c r="E12" s="404">
        <v>65009</v>
      </c>
      <c r="F12" s="404">
        <v>68305</v>
      </c>
      <c r="G12" s="404">
        <v>68776</v>
      </c>
      <c r="H12" s="404">
        <v>69247</v>
      </c>
      <c r="I12" s="404">
        <v>70662</v>
      </c>
      <c r="J12" s="404">
        <v>71603</v>
      </c>
      <c r="K12" s="407">
        <v>73016</v>
      </c>
      <c r="L12" s="15"/>
    </row>
    <row r="13" spans="2:12" ht="15" customHeight="1" x14ac:dyDescent="0.25">
      <c r="B13" s="418">
        <v>9</v>
      </c>
      <c r="C13" s="415">
        <v>63594</v>
      </c>
      <c r="D13" s="404">
        <v>65009</v>
      </c>
      <c r="E13" s="404">
        <v>66893</v>
      </c>
      <c r="F13" s="404">
        <v>70191</v>
      </c>
      <c r="G13" s="404">
        <v>70662</v>
      </c>
      <c r="H13" s="404">
        <v>71603</v>
      </c>
      <c r="I13" s="404">
        <v>73016</v>
      </c>
      <c r="J13" s="404">
        <v>73958</v>
      </c>
      <c r="K13" s="407">
        <v>75372</v>
      </c>
      <c r="L13" s="15"/>
    </row>
    <row r="14" spans="2:12" ht="15" customHeight="1" x14ac:dyDescent="0.25">
      <c r="B14" s="418">
        <v>10</v>
      </c>
      <c r="C14" s="415">
        <v>65009</v>
      </c>
      <c r="D14" s="404">
        <v>66421</v>
      </c>
      <c r="E14" s="404">
        <v>68305</v>
      </c>
      <c r="F14" s="404">
        <v>72074</v>
      </c>
      <c r="G14" s="404">
        <v>72546</v>
      </c>
      <c r="H14" s="404">
        <v>73487</v>
      </c>
      <c r="I14" s="404">
        <v>75372</v>
      </c>
      <c r="J14" s="404">
        <v>76313</v>
      </c>
      <c r="K14" s="407">
        <v>77728</v>
      </c>
      <c r="L14" s="15"/>
    </row>
    <row r="15" spans="2:12" ht="15" customHeight="1" x14ac:dyDescent="0.25">
      <c r="B15" s="418">
        <v>11</v>
      </c>
      <c r="C15" s="415">
        <v>66421</v>
      </c>
      <c r="D15" s="404">
        <v>67835</v>
      </c>
      <c r="E15" s="404">
        <v>69720</v>
      </c>
      <c r="F15" s="404">
        <v>73487</v>
      </c>
      <c r="G15" s="404">
        <v>74431</v>
      </c>
      <c r="H15" s="404">
        <v>75372</v>
      </c>
      <c r="I15" s="404">
        <v>77255</v>
      </c>
      <c r="J15" s="404">
        <v>78670</v>
      </c>
      <c r="K15" s="407">
        <v>80082</v>
      </c>
      <c r="L15" s="15"/>
    </row>
    <row r="16" spans="2:12" ht="15" customHeight="1" x14ac:dyDescent="0.25">
      <c r="B16" s="418">
        <v>12</v>
      </c>
      <c r="C16" s="415">
        <v>67835</v>
      </c>
      <c r="D16" s="404">
        <v>69247</v>
      </c>
      <c r="E16" s="404">
        <v>71131</v>
      </c>
      <c r="F16" s="404">
        <v>74901</v>
      </c>
      <c r="G16" s="404">
        <v>75843</v>
      </c>
      <c r="H16" s="404">
        <v>77255</v>
      </c>
      <c r="I16" s="404">
        <v>79140</v>
      </c>
      <c r="J16" s="404">
        <v>80553</v>
      </c>
      <c r="K16" s="407">
        <v>82438</v>
      </c>
      <c r="L16" s="15"/>
    </row>
    <row r="17" spans="2:12" ht="15" customHeight="1" x14ac:dyDescent="0.25">
      <c r="B17" s="418">
        <v>13</v>
      </c>
      <c r="C17" s="415">
        <v>68776</v>
      </c>
      <c r="D17" s="404">
        <v>70191</v>
      </c>
      <c r="E17" s="404">
        <v>72546</v>
      </c>
      <c r="F17" s="404">
        <v>76313</v>
      </c>
      <c r="G17" s="404">
        <v>77255</v>
      </c>
      <c r="H17" s="404">
        <v>79140</v>
      </c>
      <c r="I17" s="404">
        <v>81024</v>
      </c>
      <c r="J17" s="404">
        <v>82438</v>
      </c>
      <c r="K17" s="407">
        <v>84792</v>
      </c>
      <c r="L17" s="15"/>
    </row>
    <row r="18" spans="2:12" ht="15" customHeight="1" x14ac:dyDescent="0.25">
      <c r="B18" s="418">
        <v>14</v>
      </c>
      <c r="C18" s="415">
        <v>69720</v>
      </c>
      <c r="D18" s="404">
        <v>71131</v>
      </c>
      <c r="E18" s="404">
        <v>73958</v>
      </c>
      <c r="F18" s="404">
        <v>77728</v>
      </c>
      <c r="G18" s="404">
        <v>78670</v>
      </c>
      <c r="H18" s="404">
        <v>80553</v>
      </c>
      <c r="I18" s="404">
        <v>82908</v>
      </c>
      <c r="J18" s="404">
        <v>84323</v>
      </c>
      <c r="K18" s="407">
        <v>87149</v>
      </c>
      <c r="L18" s="15"/>
    </row>
    <row r="19" spans="2:12" ht="15" customHeight="1" x14ac:dyDescent="0.25">
      <c r="B19" s="418">
        <v>15</v>
      </c>
      <c r="C19" s="415">
        <v>70662</v>
      </c>
      <c r="D19" s="404">
        <v>72074</v>
      </c>
      <c r="E19" s="404">
        <v>74901</v>
      </c>
      <c r="F19" s="404">
        <v>79140</v>
      </c>
      <c r="G19" s="404">
        <v>80082</v>
      </c>
      <c r="H19" s="404">
        <v>81967</v>
      </c>
      <c r="I19" s="404">
        <v>84792</v>
      </c>
      <c r="J19" s="404">
        <v>86208</v>
      </c>
      <c r="K19" s="407">
        <v>89504</v>
      </c>
      <c r="L19" s="15"/>
    </row>
    <row r="20" spans="2:12" ht="15" customHeight="1" x14ac:dyDescent="0.25">
      <c r="B20" s="418">
        <v>16</v>
      </c>
      <c r="C20" s="415">
        <v>70662</v>
      </c>
      <c r="D20" s="404">
        <v>72074</v>
      </c>
      <c r="E20" s="404">
        <v>74901</v>
      </c>
      <c r="F20" s="404">
        <v>79140</v>
      </c>
      <c r="G20" s="404">
        <v>80082</v>
      </c>
      <c r="H20" s="404">
        <v>81967</v>
      </c>
      <c r="I20" s="404">
        <v>84792</v>
      </c>
      <c r="J20" s="404">
        <v>86208</v>
      </c>
      <c r="K20" s="407">
        <v>89504</v>
      </c>
      <c r="L20" s="15"/>
    </row>
    <row r="21" spans="2:12" ht="15" customHeight="1" x14ac:dyDescent="0.25">
      <c r="B21" s="418">
        <v>17</v>
      </c>
      <c r="C21" s="415">
        <v>70662</v>
      </c>
      <c r="D21" s="404">
        <v>72074</v>
      </c>
      <c r="E21" s="404">
        <v>74901</v>
      </c>
      <c r="F21" s="404">
        <v>79140</v>
      </c>
      <c r="G21" s="404">
        <v>80082</v>
      </c>
      <c r="H21" s="404">
        <v>81967</v>
      </c>
      <c r="I21" s="404">
        <v>84792</v>
      </c>
      <c r="J21" s="404">
        <v>86208</v>
      </c>
      <c r="K21" s="407">
        <v>89504</v>
      </c>
      <c r="L21" s="15"/>
    </row>
    <row r="22" spans="2:12" ht="15" customHeight="1" x14ac:dyDescent="0.25">
      <c r="B22" s="418">
        <v>18</v>
      </c>
      <c r="C22" s="415">
        <v>70662</v>
      </c>
      <c r="D22" s="404">
        <v>72074</v>
      </c>
      <c r="E22" s="404">
        <v>74901</v>
      </c>
      <c r="F22" s="404">
        <v>79140</v>
      </c>
      <c r="G22" s="404">
        <v>80082</v>
      </c>
      <c r="H22" s="404">
        <v>81967</v>
      </c>
      <c r="I22" s="404">
        <v>84792</v>
      </c>
      <c r="J22" s="404">
        <v>86208</v>
      </c>
      <c r="K22" s="407">
        <v>89504</v>
      </c>
      <c r="L22" s="15"/>
    </row>
    <row r="23" spans="2:12" ht="15" customHeight="1" x14ac:dyDescent="0.25">
      <c r="B23" s="418">
        <v>19</v>
      </c>
      <c r="C23" s="415">
        <v>70662</v>
      </c>
      <c r="D23" s="404">
        <v>72074</v>
      </c>
      <c r="E23" s="404">
        <v>74901</v>
      </c>
      <c r="F23" s="404">
        <v>79140</v>
      </c>
      <c r="G23" s="404">
        <v>80082</v>
      </c>
      <c r="H23" s="404">
        <v>81967</v>
      </c>
      <c r="I23" s="404">
        <v>84792</v>
      </c>
      <c r="J23" s="404">
        <v>86208</v>
      </c>
      <c r="K23" s="407">
        <v>89504</v>
      </c>
      <c r="L23" s="15"/>
    </row>
    <row r="24" spans="2:12" ht="15" customHeight="1" thickBot="1" x14ac:dyDescent="0.3">
      <c r="B24" s="419">
        <v>20</v>
      </c>
      <c r="C24" s="416">
        <v>72546</v>
      </c>
      <c r="D24" s="408">
        <v>73958</v>
      </c>
      <c r="E24" s="408">
        <v>76785</v>
      </c>
      <c r="F24" s="408">
        <v>81024</v>
      </c>
      <c r="G24" s="408">
        <v>81967</v>
      </c>
      <c r="H24" s="408">
        <v>83851</v>
      </c>
      <c r="I24" s="408">
        <v>86678</v>
      </c>
      <c r="J24" s="408">
        <v>88090</v>
      </c>
      <c r="K24" s="409">
        <v>91388</v>
      </c>
      <c r="L24" s="15"/>
    </row>
    <row r="25" spans="2:12" ht="15" customHeight="1" x14ac:dyDescent="0.3">
      <c r="B25" s="21"/>
      <c r="C25" s="23"/>
      <c r="D25" s="23"/>
      <c r="E25" s="23"/>
      <c r="F25" s="23"/>
      <c r="G25" s="23"/>
      <c r="H25" s="23"/>
      <c r="I25" s="23"/>
      <c r="J25" s="20"/>
      <c r="K25" s="20"/>
    </row>
    <row r="26" spans="2:12" ht="15" customHeight="1" x14ac:dyDescent="0.3">
      <c r="B26" s="21"/>
      <c r="C26" s="23"/>
      <c r="D26" s="23"/>
      <c r="E26" s="23"/>
      <c r="F26" s="23"/>
      <c r="G26" s="23"/>
      <c r="H26" s="23"/>
      <c r="I26" s="23"/>
      <c r="J26" s="20"/>
      <c r="K26" s="20"/>
    </row>
    <row r="27" spans="2:12" s="19" customFormat="1" ht="15" customHeight="1" x14ac:dyDescent="0.3">
      <c r="B27" s="21"/>
      <c r="C27" s="23"/>
      <c r="D27" s="23"/>
      <c r="E27" s="23"/>
      <c r="F27" s="23"/>
      <c r="G27" s="23"/>
      <c r="H27" s="23"/>
      <c r="I27" s="23"/>
      <c r="J27" s="20"/>
      <c r="K27" s="20"/>
    </row>
    <row r="28" spans="2:12" s="19" customFormat="1" ht="15" customHeight="1" x14ac:dyDescent="0.3">
      <c r="B28" s="21"/>
      <c r="C28" s="23"/>
      <c r="D28" s="23"/>
      <c r="E28" s="23"/>
      <c r="F28" s="23"/>
      <c r="G28" s="23"/>
      <c r="H28" s="23"/>
      <c r="I28" s="23"/>
      <c r="J28" s="20"/>
      <c r="K28" s="20"/>
    </row>
    <row r="29" spans="2:12" s="19" customFormat="1" ht="15" customHeight="1" x14ac:dyDescent="0.3">
      <c r="B29" s="21"/>
      <c r="C29" s="23"/>
      <c r="D29" s="23"/>
      <c r="E29" s="23"/>
      <c r="F29" s="23"/>
      <c r="G29" s="23"/>
      <c r="H29" s="23"/>
      <c r="I29" s="23"/>
    </row>
    <row r="30" spans="2:12" s="19" customFormat="1" ht="15" customHeight="1" x14ac:dyDescent="0.3">
      <c r="B30" s="21"/>
      <c r="C30" s="23"/>
      <c r="D30" s="23"/>
      <c r="E30" s="23"/>
      <c r="F30" s="23"/>
      <c r="G30" s="23"/>
      <c r="H30" s="23"/>
      <c r="I30" s="23"/>
    </row>
    <row r="31" spans="2:12" s="19" customFormat="1" ht="15" customHeight="1" x14ac:dyDescent="0.3">
      <c r="B31" s="21"/>
      <c r="C31" s="23"/>
      <c r="D31" s="23"/>
      <c r="E31" s="23"/>
      <c r="F31" s="23"/>
      <c r="G31" s="23"/>
      <c r="H31" s="23"/>
      <c r="I31" s="23"/>
    </row>
    <row r="32" spans="2:12" s="19" customFormat="1" ht="15" customHeight="1" x14ac:dyDescent="0.3">
      <c r="B32" s="21"/>
      <c r="C32" s="23"/>
      <c r="D32" s="23"/>
      <c r="E32" s="23"/>
      <c r="F32" s="23"/>
      <c r="G32" s="23"/>
      <c r="H32" s="23"/>
      <c r="I32" s="23"/>
    </row>
    <row r="33" spans="2:9" s="19" customFormat="1" ht="15" customHeight="1" x14ac:dyDescent="0.3">
      <c r="B33" s="21"/>
      <c r="C33" s="23"/>
      <c r="D33" s="23"/>
      <c r="E33" s="23"/>
      <c r="F33" s="23"/>
      <c r="G33" s="23"/>
      <c r="H33" s="23"/>
      <c r="I33" s="23"/>
    </row>
    <row r="34" spans="2:9" s="19" customFormat="1" ht="15" customHeight="1" x14ac:dyDescent="0.3">
      <c r="B34" s="21"/>
      <c r="C34" s="23"/>
      <c r="D34" s="23"/>
      <c r="E34" s="23"/>
      <c r="F34" s="23"/>
      <c r="G34" s="23"/>
      <c r="H34" s="23"/>
      <c r="I34" s="23"/>
    </row>
    <row r="35" spans="2:9" s="19" customFormat="1" ht="15" customHeight="1" x14ac:dyDescent="0.3">
      <c r="B35" s="21"/>
      <c r="C35" s="23"/>
      <c r="D35" s="23"/>
      <c r="E35" s="23"/>
      <c r="F35" s="23"/>
      <c r="G35" s="23"/>
      <c r="H35" s="23"/>
      <c r="I35" s="23"/>
    </row>
    <row r="36" spans="2:9" s="19" customFormat="1" ht="15" customHeight="1" x14ac:dyDescent="0.3">
      <c r="B36" s="21"/>
      <c r="C36" s="23"/>
      <c r="D36" s="23"/>
      <c r="E36" s="23"/>
      <c r="F36" s="23"/>
      <c r="G36" s="23"/>
      <c r="H36" s="23"/>
      <c r="I36" s="23"/>
    </row>
    <row r="37" spans="2:9" s="19" customFormat="1" ht="15" customHeight="1" x14ac:dyDescent="0.3">
      <c r="B37" s="21"/>
      <c r="C37" s="23"/>
      <c r="D37" s="23"/>
      <c r="E37" s="23"/>
      <c r="F37" s="23"/>
      <c r="G37" s="23"/>
      <c r="H37" s="23"/>
      <c r="I37" s="23"/>
    </row>
    <row r="38" spans="2:9" s="19" customFormat="1" ht="15" customHeight="1" x14ac:dyDescent="0.3">
      <c r="B38" s="21"/>
      <c r="C38" s="23"/>
      <c r="D38" s="23"/>
      <c r="E38" s="23"/>
      <c r="F38" s="23"/>
      <c r="G38" s="23"/>
      <c r="H38" s="23"/>
      <c r="I38" s="23"/>
    </row>
    <row r="39" spans="2:9" s="19" customFormat="1" ht="15" customHeight="1" x14ac:dyDescent="0.3">
      <c r="B39" s="21"/>
      <c r="C39" s="23"/>
      <c r="D39" s="23"/>
      <c r="E39" s="23"/>
      <c r="F39" s="23"/>
      <c r="G39" s="23"/>
      <c r="H39" s="23"/>
      <c r="I39" s="23"/>
    </row>
    <row r="40" spans="2:9" s="19" customFormat="1" ht="15" customHeight="1" x14ac:dyDescent="0.3">
      <c r="B40" s="10"/>
    </row>
    <row r="41" spans="2:9" s="19" customFormat="1" ht="15" customHeight="1" x14ac:dyDescent="0.3">
      <c r="B41" s="28"/>
    </row>
    <row r="42" spans="2:9" s="19" customFormat="1" ht="15" customHeight="1" x14ac:dyDescent="0.3">
      <c r="B42" s="10"/>
    </row>
    <row r="43" spans="2:9" s="19" customFormat="1" ht="15" customHeight="1" x14ac:dyDescent="0.3">
      <c r="B43" s="10"/>
      <c r="H43" s="10"/>
      <c r="I43" s="29"/>
    </row>
    <row r="44" spans="2:9" s="19" customFormat="1" ht="15" customHeight="1" x14ac:dyDescent="0.3">
      <c r="B44" s="10"/>
    </row>
    <row r="45" spans="2:9" s="19" customFormat="1" ht="15" customHeight="1" x14ac:dyDescent="0.3">
      <c r="B45" s="30"/>
    </row>
    <row r="46" spans="2:9" s="19" customFormat="1" ht="15" customHeight="1" x14ac:dyDescent="0.3">
      <c r="B46" s="10"/>
    </row>
    <row r="47" spans="2:9" s="19" customFormat="1" ht="15" customHeight="1" x14ac:dyDescent="0.3">
      <c r="B47" s="21"/>
      <c r="C47" s="21"/>
      <c r="D47" s="21"/>
      <c r="E47" s="21"/>
      <c r="F47" s="21"/>
      <c r="G47" s="21"/>
      <c r="H47" s="21"/>
      <c r="I47" s="21"/>
    </row>
    <row r="48" spans="2:9" s="19" customFormat="1" ht="15" customHeight="1" x14ac:dyDescent="0.3">
      <c r="B48" s="21"/>
      <c r="C48" s="20"/>
    </row>
    <row r="49" spans="2:9" s="19" customFormat="1" ht="15" customHeight="1" x14ac:dyDescent="0.3">
      <c r="B49" s="21"/>
      <c r="C49" s="26"/>
      <c r="D49" s="26"/>
      <c r="E49" s="26"/>
      <c r="F49" s="26"/>
      <c r="G49" s="26"/>
      <c r="H49" s="26"/>
      <c r="I49" s="26"/>
    </row>
    <row r="50" spans="2:9" s="19" customFormat="1" ht="15" customHeight="1" x14ac:dyDescent="0.3">
      <c r="B50" s="21"/>
      <c r="C50" s="26"/>
      <c r="D50" s="26"/>
      <c r="E50" s="26"/>
      <c r="F50" s="26"/>
      <c r="G50" s="26"/>
      <c r="H50" s="26"/>
      <c r="I50" s="26"/>
    </row>
    <row r="51" spans="2:9" s="19" customFormat="1" ht="15" customHeight="1" x14ac:dyDescent="0.3">
      <c r="B51" s="21"/>
      <c r="C51" s="26"/>
      <c r="D51" s="26"/>
      <c r="E51" s="26"/>
      <c r="F51" s="26"/>
      <c r="G51" s="26"/>
      <c r="H51" s="26"/>
      <c r="I51" s="26"/>
    </row>
    <row r="52" spans="2:9" s="19" customFormat="1" ht="15" customHeight="1" x14ac:dyDescent="0.3">
      <c r="B52" s="21"/>
      <c r="C52" s="26"/>
      <c r="D52" s="26"/>
      <c r="E52" s="26"/>
      <c r="F52" s="26"/>
      <c r="G52" s="26"/>
      <c r="H52" s="26"/>
      <c r="I52" s="26"/>
    </row>
    <row r="53" spans="2:9" s="19" customFormat="1" ht="15" customHeight="1" x14ac:dyDescent="0.3">
      <c r="B53" s="21"/>
      <c r="C53" s="26"/>
      <c r="D53" s="26"/>
      <c r="E53" s="26"/>
      <c r="F53" s="26"/>
      <c r="G53" s="26"/>
      <c r="H53" s="26"/>
      <c r="I53" s="26"/>
    </row>
    <row r="54" spans="2:9" s="19" customFormat="1" ht="15" customHeight="1" x14ac:dyDescent="0.3">
      <c r="B54" s="21"/>
      <c r="C54" s="26"/>
      <c r="D54" s="26"/>
      <c r="E54" s="26"/>
      <c r="F54" s="26"/>
      <c r="G54" s="26"/>
      <c r="H54" s="26"/>
      <c r="I54" s="26"/>
    </row>
    <row r="55" spans="2:9" s="19" customFormat="1" ht="15" customHeight="1" x14ac:dyDescent="0.3">
      <c r="B55" s="21"/>
      <c r="C55" s="26"/>
      <c r="D55" s="26"/>
      <c r="E55" s="26"/>
      <c r="F55" s="26"/>
      <c r="G55" s="26"/>
      <c r="H55" s="26"/>
      <c r="I55" s="26"/>
    </row>
    <row r="56" spans="2:9" s="19" customFormat="1" ht="15" customHeight="1" x14ac:dyDescent="0.3">
      <c r="B56" s="21"/>
      <c r="C56" s="26"/>
      <c r="D56" s="26"/>
      <c r="E56" s="26"/>
      <c r="F56" s="26"/>
      <c r="G56" s="26"/>
      <c r="H56" s="26"/>
      <c r="I56" s="26"/>
    </row>
    <row r="57" spans="2:9" s="19" customFormat="1" ht="15" customHeight="1" x14ac:dyDescent="0.3">
      <c r="B57" s="21"/>
      <c r="C57" s="26"/>
      <c r="D57" s="26"/>
      <c r="E57" s="26"/>
      <c r="F57" s="26"/>
      <c r="G57" s="26"/>
      <c r="H57" s="26"/>
      <c r="I57" s="26"/>
    </row>
    <row r="58" spans="2:9" s="19" customFormat="1" ht="15" customHeight="1" x14ac:dyDescent="0.3">
      <c r="B58" s="21"/>
      <c r="C58" s="26"/>
      <c r="D58" s="26"/>
      <c r="E58" s="26"/>
      <c r="F58" s="26"/>
      <c r="G58" s="26"/>
      <c r="H58" s="26"/>
      <c r="I58" s="26"/>
    </row>
    <row r="59" spans="2:9" s="19" customFormat="1" ht="15" customHeight="1" x14ac:dyDescent="0.3">
      <c r="B59" s="21"/>
      <c r="C59" s="26"/>
      <c r="D59" s="26"/>
      <c r="E59" s="26"/>
      <c r="F59" s="26"/>
      <c r="G59" s="26"/>
      <c r="H59" s="26"/>
      <c r="I59" s="26"/>
    </row>
    <row r="60" spans="2:9" s="19" customFormat="1" ht="15" customHeight="1" x14ac:dyDescent="0.3">
      <c r="B60" s="21"/>
      <c r="C60" s="26"/>
      <c r="D60" s="26"/>
      <c r="E60" s="26"/>
      <c r="F60" s="26"/>
      <c r="G60" s="26"/>
      <c r="H60" s="26"/>
      <c r="I60" s="26"/>
    </row>
    <row r="61" spans="2:9" s="19" customFormat="1" ht="15" customHeight="1" x14ac:dyDescent="0.3">
      <c r="B61" s="21"/>
      <c r="C61" s="26"/>
      <c r="D61" s="26"/>
      <c r="E61" s="26"/>
      <c r="F61" s="26"/>
      <c r="G61" s="26"/>
      <c r="H61" s="26"/>
      <c r="I61" s="26"/>
    </row>
    <row r="62" spans="2:9" s="19" customFormat="1" ht="15" customHeight="1" x14ac:dyDescent="0.3">
      <c r="B62" s="21"/>
      <c r="C62" s="26"/>
      <c r="D62" s="26"/>
      <c r="E62" s="26"/>
      <c r="F62" s="26"/>
      <c r="G62" s="26"/>
      <c r="H62" s="26"/>
      <c r="I62" s="26"/>
    </row>
    <row r="63" spans="2:9" s="19" customFormat="1" ht="15" customHeight="1" x14ac:dyDescent="0.3">
      <c r="B63" s="21"/>
      <c r="C63" s="26"/>
      <c r="D63" s="26"/>
      <c r="E63" s="26"/>
      <c r="F63" s="26"/>
      <c r="G63" s="26"/>
      <c r="H63" s="26"/>
      <c r="I63" s="26"/>
    </row>
    <row r="64" spans="2:9" s="19" customFormat="1" ht="15" customHeight="1" x14ac:dyDescent="0.3">
      <c r="B64" s="21"/>
      <c r="C64" s="26"/>
      <c r="D64" s="26"/>
      <c r="E64" s="26"/>
      <c r="F64" s="26"/>
      <c r="G64" s="26"/>
      <c r="H64" s="26"/>
      <c r="I64" s="26"/>
    </row>
    <row r="65" spans="2:9" s="19" customFormat="1" ht="15" customHeight="1" x14ac:dyDescent="0.3">
      <c r="B65" s="21"/>
      <c r="C65" s="26"/>
      <c r="D65" s="26"/>
      <c r="E65" s="26"/>
      <c r="F65" s="26"/>
      <c r="G65" s="26"/>
      <c r="H65" s="26"/>
      <c r="I65" s="26"/>
    </row>
    <row r="66" spans="2:9" s="19" customFormat="1" ht="15" customHeight="1" x14ac:dyDescent="0.3">
      <c r="B66" s="21"/>
      <c r="C66" s="26"/>
      <c r="D66" s="26"/>
      <c r="E66" s="26"/>
      <c r="F66" s="26"/>
      <c r="G66" s="26"/>
      <c r="H66" s="26"/>
      <c r="I66" s="26"/>
    </row>
    <row r="67" spans="2:9" s="19" customFormat="1" ht="15" customHeight="1" x14ac:dyDescent="0.3">
      <c r="B67" s="21"/>
      <c r="C67" s="26"/>
      <c r="D67" s="26"/>
      <c r="E67" s="26"/>
      <c r="F67" s="26"/>
      <c r="G67" s="26"/>
      <c r="H67" s="26"/>
      <c r="I67" s="26"/>
    </row>
    <row r="68" spans="2:9" s="19" customFormat="1" ht="15" customHeight="1" x14ac:dyDescent="0.3">
      <c r="B68" s="21"/>
      <c r="C68" s="26"/>
      <c r="D68" s="26"/>
      <c r="E68" s="26"/>
      <c r="F68" s="26"/>
      <c r="G68" s="26"/>
      <c r="H68" s="26"/>
      <c r="I68" s="26"/>
    </row>
    <row r="69" spans="2:9" s="19" customFormat="1" ht="15" customHeight="1" x14ac:dyDescent="0.3">
      <c r="B69" s="10"/>
    </row>
    <row r="70" spans="2:9" s="19" customFormat="1" ht="15" customHeight="1" x14ac:dyDescent="0.3">
      <c r="B70" s="28"/>
      <c r="C70" s="27"/>
      <c r="D70" s="27"/>
      <c r="E70" s="27"/>
      <c r="F70" s="26"/>
      <c r="G70" s="26"/>
      <c r="H70" s="27"/>
      <c r="I70" s="27"/>
    </row>
    <row r="71" spans="2:9" s="19" customFormat="1" ht="15" customHeight="1" x14ac:dyDescent="0.3">
      <c r="B71" s="10"/>
    </row>
    <row r="72" spans="2:9" s="19" customFormat="1" ht="15" customHeight="1" x14ac:dyDescent="0.3">
      <c r="B72" s="10"/>
      <c r="H72" s="10"/>
      <c r="I72" s="13"/>
    </row>
  </sheetData>
  <printOptions horizontalCentered="1"/>
  <pageMargins left="0.7" right="0.7" top="0.75" bottom="0.75" header="0.3" footer="0.3"/>
  <pageSetup scale="91" orientation="landscape" r:id="rId1"/>
  <headerFooter alignWithMargins="0">
    <oddFooter xml:space="preserve">&amp;L&amp;"Arial,Bold"&amp;F &amp;C&amp;"Arial,Bold"&amp;D&amp;R&amp;"Arial,Bold"Appendix C-6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4AB8C-20F8-4C9E-ABA2-E1CEE9136B34}">
  <sheetPr codeName="Sheet32"/>
  <dimension ref="A1:J32"/>
  <sheetViews>
    <sheetView showGridLines="0" view="pageLayout" zoomScaleNormal="120" workbookViewId="0">
      <selection activeCell="K19" sqref="K19"/>
    </sheetView>
  </sheetViews>
  <sheetFormatPr defaultColWidth="12.7265625" defaultRowHeight="15" customHeight="1" x14ac:dyDescent="0.25"/>
  <cols>
    <col min="1" max="2" width="3.7265625" style="15" customWidth="1"/>
    <col min="3" max="8" width="12.453125" style="15" customWidth="1"/>
    <col min="9" max="9" width="8.26953125" style="15" customWidth="1"/>
    <col min="10" max="16384" width="12.7265625" style="15"/>
  </cols>
  <sheetData>
    <row r="1" spans="2:10" ht="15" customHeight="1" thickBot="1" x14ac:dyDescent="0.35">
      <c r="C1" s="3"/>
      <c r="D1" s="3"/>
      <c r="E1" s="3"/>
      <c r="F1" s="122"/>
    </row>
    <row r="2" spans="2:10" s="6" customFormat="1" ht="20.149999999999999" customHeight="1" thickBot="1" x14ac:dyDescent="0.4">
      <c r="B2" s="328" t="s">
        <v>252</v>
      </c>
      <c r="C2" s="196"/>
      <c r="D2" s="329"/>
      <c r="E2" s="329"/>
      <c r="F2" s="330"/>
      <c r="G2" s="329"/>
      <c r="H2" s="196"/>
      <c r="I2" s="331" t="str">
        <f>ACCUM!A3</f>
        <v>FY'23</v>
      </c>
    </row>
    <row r="3" spans="2:10" ht="15" customHeight="1" thickBot="1" x14ac:dyDescent="0.35">
      <c r="C3" s="3"/>
      <c r="D3" s="3"/>
      <c r="E3" s="3"/>
      <c r="F3" s="122"/>
    </row>
    <row r="4" spans="2:10" s="340" customFormat="1" ht="15" customHeight="1" thickBot="1" x14ac:dyDescent="0.3">
      <c r="C4" s="339" t="s">
        <v>82</v>
      </c>
      <c r="D4" s="402" t="s">
        <v>36</v>
      </c>
      <c r="E4" s="402" t="s">
        <v>69</v>
      </c>
      <c r="F4" s="402" t="s">
        <v>72</v>
      </c>
      <c r="G4" s="402" t="s">
        <v>247</v>
      </c>
      <c r="H4" s="403" t="s">
        <v>248</v>
      </c>
    </row>
    <row r="5" spans="2:10" ht="15" customHeight="1" x14ac:dyDescent="0.25">
      <c r="C5" s="431">
        <v>0</v>
      </c>
      <c r="D5" s="422">
        <v>59012</v>
      </c>
      <c r="E5" s="405">
        <v>70302</v>
      </c>
      <c r="F5" s="405">
        <v>74066</v>
      </c>
      <c r="G5" s="405">
        <v>77076</v>
      </c>
      <c r="H5" s="406">
        <v>80087</v>
      </c>
    </row>
    <row r="6" spans="2:10" ht="15" customHeight="1" x14ac:dyDescent="0.25">
      <c r="C6" s="432">
        <v>1</v>
      </c>
      <c r="D6" s="415">
        <v>60367</v>
      </c>
      <c r="E6" s="404">
        <v>71657</v>
      </c>
      <c r="F6" s="404">
        <v>75421</v>
      </c>
      <c r="G6" s="404">
        <v>78432</v>
      </c>
      <c r="H6" s="407">
        <v>81442</v>
      </c>
    </row>
    <row r="7" spans="2:10" ht="15" customHeight="1" x14ac:dyDescent="0.25">
      <c r="C7" s="432">
        <v>2</v>
      </c>
      <c r="D7" s="415">
        <v>61722</v>
      </c>
      <c r="E7" s="404">
        <v>73012</v>
      </c>
      <c r="F7" s="404">
        <v>76776</v>
      </c>
      <c r="G7" s="404">
        <v>79787</v>
      </c>
      <c r="H7" s="407">
        <v>82798</v>
      </c>
    </row>
    <row r="8" spans="2:10" ht="15" customHeight="1" x14ac:dyDescent="0.25">
      <c r="C8" s="432">
        <v>3</v>
      </c>
      <c r="D8" s="415">
        <v>63076</v>
      </c>
      <c r="E8" s="404">
        <v>74367</v>
      </c>
      <c r="F8" s="404">
        <v>78130</v>
      </c>
      <c r="G8" s="404">
        <v>81141</v>
      </c>
      <c r="H8" s="407">
        <v>84152</v>
      </c>
    </row>
    <row r="9" spans="2:10" ht="15" customHeight="1" x14ac:dyDescent="0.25">
      <c r="C9" s="432">
        <v>4</v>
      </c>
      <c r="D9" s="415">
        <v>64431</v>
      </c>
      <c r="E9" s="404">
        <v>75721</v>
      </c>
      <c r="F9" s="404">
        <v>79485</v>
      </c>
      <c r="G9" s="404">
        <v>82496</v>
      </c>
      <c r="H9" s="407">
        <v>85507</v>
      </c>
    </row>
    <row r="10" spans="2:10" ht="15" customHeight="1" x14ac:dyDescent="0.25">
      <c r="C10" s="432">
        <v>5</v>
      </c>
      <c r="D10" s="415">
        <v>65786</v>
      </c>
      <c r="E10" s="404">
        <v>77076</v>
      </c>
      <c r="F10" s="404">
        <v>80840</v>
      </c>
      <c r="G10" s="404">
        <v>83851</v>
      </c>
      <c r="H10" s="407">
        <v>86862</v>
      </c>
    </row>
    <row r="11" spans="2:10" ht="15" customHeight="1" x14ac:dyDescent="0.25">
      <c r="C11" s="432">
        <v>6</v>
      </c>
      <c r="D11" s="415">
        <v>67141</v>
      </c>
      <c r="E11" s="404">
        <v>78432</v>
      </c>
      <c r="F11" s="404">
        <v>82195</v>
      </c>
      <c r="G11" s="404">
        <v>85206</v>
      </c>
      <c r="H11" s="407">
        <v>88217</v>
      </c>
    </row>
    <row r="12" spans="2:10" s="31" customFormat="1" ht="15" customHeight="1" x14ac:dyDescent="0.25">
      <c r="C12" s="432">
        <v>7</v>
      </c>
      <c r="D12" s="415">
        <v>68495</v>
      </c>
      <c r="E12" s="404">
        <v>79787</v>
      </c>
      <c r="F12" s="404">
        <v>83549</v>
      </c>
      <c r="G12" s="404">
        <v>86560</v>
      </c>
      <c r="H12" s="407">
        <v>89571</v>
      </c>
      <c r="J12" s="15"/>
    </row>
    <row r="13" spans="2:10" s="31" customFormat="1" ht="15" customHeight="1" x14ac:dyDescent="0.25">
      <c r="C13" s="432">
        <v>8</v>
      </c>
      <c r="D13" s="415">
        <v>69399</v>
      </c>
      <c r="E13" s="404">
        <v>81141</v>
      </c>
      <c r="F13" s="404">
        <v>84905</v>
      </c>
      <c r="G13" s="404">
        <v>87915</v>
      </c>
      <c r="H13" s="407">
        <v>90926</v>
      </c>
    </row>
    <row r="14" spans="2:10" s="31" customFormat="1" ht="15" customHeight="1" x14ac:dyDescent="0.25">
      <c r="C14" s="432">
        <v>9</v>
      </c>
      <c r="D14" s="415">
        <v>71206</v>
      </c>
      <c r="E14" s="404">
        <v>82496</v>
      </c>
      <c r="F14" s="404">
        <v>86260</v>
      </c>
      <c r="G14" s="404">
        <v>89270</v>
      </c>
      <c r="H14" s="407">
        <v>92281</v>
      </c>
    </row>
    <row r="15" spans="2:10" ht="15" customHeight="1" x14ac:dyDescent="0.25">
      <c r="C15" s="432">
        <v>10</v>
      </c>
      <c r="D15" s="415">
        <v>72561</v>
      </c>
      <c r="E15" s="404">
        <v>83851</v>
      </c>
      <c r="F15" s="404">
        <v>87615</v>
      </c>
      <c r="G15" s="404">
        <v>90626</v>
      </c>
      <c r="H15" s="407">
        <v>93636</v>
      </c>
      <c r="J15" s="31"/>
    </row>
    <row r="16" spans="2:10" ht="15" customHeight="1" x14ac:dyDescent="0.25">
      <c r="C16" s="432">
        <v>11</v>
      </c>
      <c r="D16" s="415">
        <v>73915</v>
      </c>
      <c r="E16" s="404">
        <v>85206</v>
      </c>
      <c r="F16" s="404">
        <v>88969</v>
      </c>
      <c r="G16" s="404">
        <v>91980</v>
      </c>
      <c r="H16" s="407">
        <v>94990</v>
      </c>
    </row>
    <row r="17" spans="1:8" ht="15" customHeight="1" x14ac:dyDescent="0.25">
      <c r="C17" s="432">
        <v>12</v>
      </c>
      <c r="D17" s="415">
        <v>75270</v>
      </c>
      <c r="E17" s="404">
        <v>86560</v>
      </c>
      <c r="F17" s="404">
        <v>90324</v>
      </c>
      <c r="G17" s="404">
        <v>93335</v>
      </c>
      <c r="H17" s="407">
        <v>96346</v>
      </c>
    </row>
    <row r="18" spans="1:8" ht="15" customHeight="1" x14ac:dyDescent="0.25">
      <c r="A18" s="19"/>
      <c r="B18" s="19"/>
      <c r="C18" s="432">
        <v>13</v>
      </c>
      <c r="D18" s="415">
        <v>76625</v>
      </c>
      <c r="E18" s="404">
        <v>87915</v>
      </c>
      <c r="F18" s="404">
        <v>91679</v>
      </c>
      <c r="G18" s="404">
        <v>94690</v>
      </c>
      <c r="H18" s="407">
        <v>97701</v>
      </c>
    </row>
    <row r="19" spans="1:8" ht="15" customHeight="1" x14ac:dyDescent="0.25">
      <c r="A19" s="19"/>
      <c r="B19" s="19"/>
      <c r="C19" s="432">
        <v>14</v>
      </c>
      <c r="D19" s="415">
        <v>77980</v>
      </c>
      <c r="E19" s="404">
        <v>89270</v>
      </c>
      <c r="F19" s="404">
        <v>93238</v>
      </c>
      <c r="G19" s="404">
        <v>96045</v>
      </c>
      <c r="H19" s="407">
        <v>99056</v>
      </c>
    </row>
    <row r="20" spans="1:8" ht="15" customHeight="1" x14ac:dyDescent="0.25">
      <c r="A20" s="19"/>
      <c r="B20" s="19"/>
      <c r="C20" s="432">
        <v>15</v>
      </c>
      <c r="D20" s="415">
        <v>79334</v>
      </c>
      <c r="E20" s="404">
        <v>90626</v>
      </c>
      <c r="F20" s="404">
        <v>94388</v>
      </c>
      <c r="G20" s="404">
        <v>97399</v>
      </c>
      <c r="H20" s="407">
        <v>100410</v>
      </c>
    </row>
    <row r="21" spans="1:8" ht="15" customHeight="1" x14ac:dyDescent="0.25">
      <c r="A21" s="19"/>
      <c r="B21" s="19"/>
      <c r="C21" s="432">
        <v>16</v>
      </c>
      <c r="D21" s="415">
        <v>80689</v>
      </c>
      <c r="E21" s="404">
        <v>91980</v>
      </c>
      <c r="F21" s="404">
        <v>95743</v>
      </c>
      <c r="G21" s="404">
        <v>98754</v>
      </c>
      <c r="H21" s="407">
        <v>101765</v>
      </c>
    </row>
    <row r="22" spans="1:8" ht="15" customHeight="1" x14ac:dyDescent="0.25">
      <c r="A22" s="19"/>
      <c r="B22" s="19"/>
      <c r="C22" s="432">
        <v>17</v>
      </c>
      <c r="D22" s="415">
        <v>80689</v>
      </c>
      <c r="E22" s="404">
        <v>91980</v>
      </c>
      <c r="F22" s="404">
        <v>95743</v>
      </c>
      <c r="G22" s="404">
        <v>98754</v>
      </c>
      <c r="H22" s="407">
        <v>101765</v>
      </c>
    </row>
    <row r="23" spans="1:8" ht="15" customHeight="1" x14ac:dyDescent="0.25">
      <c r="A23" s="19"/>
      <c r="B23" s="19"/>
      <c r="C23" s="432">
        <v>18</v>
      </c>
      <c r="D23" s="415">
        <v>80689</v>
      </c>
      <c r="E23" s="404">
        <v>91980</v>
      </c>
      <c r="F23" s="404">
        <v>95743</v>
      </c>
      <c r="G23" s="404">
        <v>98754</v>
      </c>
      <c r="H23" s="407">
        <v>101765</v>
      </c>
    </row>
    <row r="24" spans="1:8" ht="15" customHeight="1" x14ac:dyDescent="0.25">
      <c r="A24" s="19"/>
      <c r="B24" s="19"/>
      <c r="C24" s="432">
        <v>19</v>
      </c>
      <c r="D24" s="415">
        <v>82045</v>
      </c>
      <c r="E24" s="404">
        <v>93335</v>
      </c>
      <c r="F24" s="404">
        <v>97099</v>
      </c>
      <c r="G24" s="404">
        <v>100109</v>
      </c>
      <c r="H24" s="407">
        <v>103120</v>
      </c>
    </row>
    <row r="25" spans="1:8" ht="15" customHeight="1" x14ac:dyDescent="0.25">
      <c r="C25" s="432">
        <v>20</v>
      </c>
      <c r="D25" s="415">
        <v>82045</v>
      </c>
      <c r="E25" s="404">
        <v>93335</v>
      </c>
      <c r="F25" s="404">
        <v>97099</v>
      </c>
      <c r="G25" s="404">
        <v>100109</v>
      </c>
      <c r="H25" s="407">
        <v>103120</v>
      </c>
    </row>
    <row r="26" spans="1:8" ht="15" customHeight="1" x14ac:dyDescent="0.25">
      <c r="C26" s="432">
        <v>21</v>
      </c>
      <c r="D26" s="415">
        <v>82045</v>
      </c>
      <c r="E26" s="404">
        <v>93335</v>
      </c>
      <c r="F26" s="404">
        <v>97099</v>
      </c>
      <c r="G26" s="404">
        <v>100109</v>
      </c>
      <c r="H26" s="407">
        <v>103120</v>
      </c>
    </row>
    <row r="27" spans="1:8" ht="15" customHeight="1" x14ac:dyDescent="0.25">
      <c r="C27" s="432">
        <v>22</v>
      </c>
      <c r="D27" s="415">
        <v>83400</v>
      </c>
      <c r="E27" s="404">
        <v>94690</v>
      </c>
      <c r="F27" s="404">
        <v>98454</v>
      </c>
      <c r="G27" s="404">
        <v>101464</v>
      </c>
      <c r="H27" s="407">
        <v>104475</v>
      </c>
    </row>
    <row r="28" spans="1:8" ht="15" customHeight="1" x14ac:dyDescent="0.25">
      <c r="C28" s="432">
        <v>23</v>
      </c>
      <c r="D28" s="415">
        <v>83400</v>
      </c>
      <c r="E28" s="404">
        <v>94690</v>
      </c>
      <c r="F28" s="404">
        <v>98454</v>
      </c>
      <c r="G28" s="404">
        <v>101464</v>
      </c>
      <c r="H28" s="407">
        <v>104475</v>
      </c>
    </row>
    <row r="29" spans="1:8" ht="15" customHeight="1" x14ac:dyDescent="0.25">
      <c r="C29" s="432">
        <v>24</v>
      </c>
      <c r="D29" s="415">
        <v>83400</v>
      </c>
      <c r="E29" s="404">
        <v>94690</v>
      </c>
      <c r="F29" s="404">
        <v>98454</v>
      </c>
      <c r="G29" s="404">
        <v>101464</v>
      </c>
      <c r="H29" s="407">
        <v>104475</v>
      </c>
    </row>
    <row r="30" spans="1:8" ht="15" customHeight="1" thickBot="1" x14ac:dyDescent="0.3">
      <c r="C30" s="433">
        <v>25</v>
      </c>
      <c r="D30" s="416">
        <v>86109</v>
      </c>
      <c r="E30" s="408">
        <v>97399</v>
      </c>
      <c r="F30" s="408">
        <v>101163</v>
      </c>
      <c r="G30" s="408">
        <v>104174</v>
      </c>
      <c r="H30" s="409">
        <v>107184</v>
      </c>
    </row>
    <row r="32" spans="1:8" ht="32.5" customHeight="1" x14ac:dyDescent="0.25">
      <c r="C32" s="530" t="s">
        <v>91</v>
      </c>
      <c r="D32" s="530"/>
      <c r="E32" s="530"/>
      <c r="F32" s="530"/>
      <c r="G32" s="530"/>
      <c r="H32" s="530"/>
    </row>
  </sheetData>
  <mergeCells count="1">
    <mergeCell ref="C32:H32"/>
  </mergeCells>
  <printOptions horizontalCentered="1"/>
  <pageMargins left="0.5" right="0.5" top="0.75" bottom="0.5" header="0.3" footer="0.3"/>
  <pageSetup orientation="landscape" r:id="rId1"/>
  <headerFooter alignWithMargins="0">
    <oddFooter>&amp;L&amp;"Arial,Bold"&amp;F&amp;C&amp;"Arial,Bold"&amp;D&amp;R&amp;"Arial,Bold"Appendix  C-7</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BB590-A317-41E9-81AB-45E135C6177F}">
  <sheetPr codeName="Sheet35">
    <pageSetUpPr fitToPage="1"/>
  </sheetPr>
  <dimension ref="A1:I27"/>
  <sheetViews>
    <sheetView showGridLines="0" view="pageLayout" zoomScaleNormal="120" workbookViewId="0">
      <selection activeCell="K27" sqref="K27"/>
    </sheetView>
  </sheetViews>
  <sheetFormatPr defaultColWidth="12.7265625" defaultRowHeight="15" customHeight="1" x14ac:dyDescent="0.25"/>
  <cols>
    <col min="1" max="2" width="3.7265625" style="15" customWidth="1"/>
    <col min="3" max="7" width="12.453125" style="15" customWidth="1"/>
    <col min="8" max="8" width="8.26953125" style="15" customWidth="1"/>
    <col min="9" max="16384" width="12.7265625" style="15"/>
  </cols>
  <sheetData>
    <row r="1" spans="2:9" ht="15" customHeight="1" thickBot="1" x14ac:dyDescent="0.35">
      <c r="C1" s="3"/>
      <c r="D1" s="3"/>
      <c r="E1" s="3"/>
      <c r="F1" s="122"/>
    </row>
    <row r="2" spans="2:9" s="6" customFormat="1" ht="20.149999999999999" customHeight="1" thickBot="1" x14ac:dyDescent="0.4">
      <c r="B2" s="328" t="s">
        <v>253</v>
      </c>
      <c r="C2" s="196"/>
      <c r="D2" s="329"/>
      <c r="E2" s="329"/>
      <c r="F2" s="330"/>
      <c r="G2" s="329"/>
      <c r="H2" s="331" t="str">
        <f>ACCUM!A3</f>
        <v>FY'23</v>
      </c>
    </row>
    <row r="3" spans="2:9" ht="15" customHeight="1" thickBot="1" x14ac:dyDescent="0.35">
      <c r="C3" s="3"/>
      <c r="D3" s="3"/>
      <c r="E3" s="3"/>
      <c r="F3" s="122"/>
    </row>
    <row r="4" spans="2:9" s="340" customFormat="1" ht="15" customHeight="1" thickBot="1" x14ac:dyDescent="0.3">
      <c r="C4" s="339" t="s">
        <v>82</v>
      </c>
      <c r="D4" s="413" t="s">
        <v>69</v>
      </c>
      <c r="E4" s="402" t="s">
        <v>72</v>
      </c>
      <c r="F4" s="402" t="s">
        <v>247</v>
      </c>
      <c r="G4" s="403" t="s">
        <v>248</v>
      </c>
    </row>
    <row r="5" spans="2:9" ht="15" customHeight="1" x14ac:dyDescent="0.25">
      <c r="C5" s="400">
        <v>0</v>
      </c>
      <c r="D5" s="422">
        <v>93213</v>
      </c>
      <c r="E5" s="405">
        <v>96111</v>
      </c>
      <c r="F5" s="405">
        <v>98430</v>
      </c>
      <c r="G5" s="406">
        <v>100748</v>
      </c>
    </row>
    <row r="6" spans="2:9" ht="15" customHeight="1" x14ac:dyDescent="0.25">
      <c r="C6" s="400">
        <v>1</v>
      </c>
      <c r="D6" s="415">
        <v>94256</v>
      </c>
      <c r="E6" s="404">
        <v>97154</v>
      </c>
      <c r="F6" s="404">
        <v>99473</v>
      </c>
      <c r="G6" s="407">
        <v>101791</v>
      </c>
    </row>
    <row r="7" spans="2:9" ht="15" customHeight="1" x14ac:dyDescent="0.25">
      <c r="C7" s="400">
        <v>2</v>
      </c>
      <c r="D7" s="415">
        <v>95299</v>
      </c>
      <c r="E7" s="404">
        <v>98198</v>
      </c>
      <c r="F7" s="404">
        <v>100516</v>
      </c>
      <c r="G7" s="407">
        <v>102834</v>
      </c>
    </row>
    <row r="8" spans="2:9" ht="15" customHeight="1" x14ac:dyDescent="0.25">
      <c r="C8" s="400">
        <v>3</v>
      </c>
      <c r="D8" s="415">
        <v>96342</v>
      </c>
      <c r="E8" s="404">
        <v>99241</v>
      </c>
      <c r="F8" s="404">
        <v>101559</v>
      </c>
      <c r="G8" s="407">
        <v>103877</v>
      </c>
    </row>
    <row r="9" spans="2:9" ht="15" customHeight="1" x14ac:dyDescent="0.25">
      <c r="C9" s="400">
        <v>4</v>
      </c>
      <c r="D9" s="415">
        <v>97386</v>
      </c>
      <c r="E9" s="404">
        <v>100284</v>
      </c>
      <c r="F9" s="404">
        <v>102602</v>
      </c>
      <c r="G9" s="407">
        <v>104920</v>
      </c>
    </row>
    <row r="10" spans="2:9" ht="15" customHeight="1" x14ac:dyDescent="0.25">
      <c r="C10" s="400">
        <v>5</v>
      </c>
      <c r="D10" s="415">
        <v>98430</v>
      </c>
      <c r="E10" s="404">
        <v>101327</v>
      </c>
      <c r="F10" s="404">
        <v>103645</v>
      </c>
      <c r="G10" s="407">
        <v>105964</v>
      </c>
    </row>
    <row r="11" spans="2:9" ht="15" customHeight="1" x14ac:dyDescent="0.25">
      <c r="C11" s="400">
        <v>6</v>
      </c>
      <c r="D11" s="415">
        <v>99473</v>
      </c>
      <c r="E11" s="404">
        <v>102370</v>
      </c>
      <c r="F11" s="404">
        <v>104688</v>
      </c>
      <c r="G11" s="407">
        <v>107008</v>
      </c>
    </row>
    <row r="12" spans="2:9" s="31" customFormat="1" ht="15" customHeight="1" x14ac:dyDescent="0.25">
      <c r="C12" s="400">
        <v>7</v>
      </c>
      <c r="D12" s="415">
        <v>100516</v>
      </c>
      <c r="E12" s="404">
        <v>103413</v>
      </c>
      <c r="F12" s="404">
        <v>105733</v>
      </c>
      <c r="G12" s="407">
        <v>108051</v>
      </c>
      <c r="I12" s="15"/>
    </row>
    <row r="13" spans="2:9" s="31" customFormat="1" ht="15" customHeight="1" x14ac:dyDescent="0.25">
      <c r="C13" s="400">
        <v>8</v>
      </c>
      <c r="D13" s="415">
        <v>101559</v>
      </c>
      <c r="E13" s="404">
        <v>104457</v>
      </c>
      <c r="F13" s="404">
        <v>106776</v>
      </c>
      <c r="G13" s="407">
        <v>109094</v>
      </c>
    </row>
    <row r="14" spans="2:9" s="31" customFormat="1" ht="15" customHeight="1" x14ac:dyDescent="0.25">
      <c r="C14" s="400">
        <v>9</v>
      </c>
      <c r="D14" s="415">
        <v>102602</v>
      </c>
      <c r="E14" s="404">
        <v>105501</v>
      </c>
      <c r="F14" s="404">
        <v>107819</v>
      </c>
      <c r="G14" s="407">
        <v>110137</v>
      </c>
    </row>
    <row r="15" spans="2:9" ht="15" customHeight="1" x14ac:dyDescent="0.25">
      <c r="C15" s="400">
        <v>10</v>
      </c>
      <c r="D15" s="415">
        <v>103645</v>
      </c>
      <c r="E15" s="404">
        <v>106544</v>
      </c>
      <c r="F15" s="404">
        <v>108862</v>
      </c>
      <c r="G15" s="407">
        <v>111180</v>
      </c>
      <c r="I15" s="31"/>
    </row>
    <row r="16" spans="2:9" ht="15" customHeight="1" x14ac:dyDescent="0.25">
      <c r="C16" s="400">
        <v>11</v>
      </c>
      <c r="D16" s="415">
        <v>104688</v>
      </c>
      <c r="E16" s="404">
        <v>107587</v>
      </c>
      <c r="F16" s="404">
        <v>109905</v>
      </c>
      <c r="G16" s="407">
        <v>112223</v>
      </c>
    </row>
    <row r="17" spans="1:7" ht="15" customHeight="1" x14ac:dyDescent="0.25">
      <c r="C17" s="400">
        <v>12</v>
      </c>
      <c r="D17" s="415">
        <v>105733</v>
      </c>
      <c r="E17" s="404">
        <v>108630</v>
      </c>
      <c r="F17" s="404">
        <v>110948</v>
      </c>
      <c r="G17" s="407">
        <v>113266</v>
      </c>
    </row>
    <row r="18" spans="1:7" ht="15" customHeight="1" x14ac:dyDescent="0.25">
      <c r="A18" s="19"/>
      <c r="B18" s="19"/>
      <c r="C18" s="400">
        <v>13</v>
      </c>
      <c r="D18" s="415">
        <v>106776</v>
      </c>
      <c r="E18" s="404">
        <v>109673</v>
      </c>
      <c r="F18" s="404">
        <v>111991</v>
      </c>
      <c r="G18" s="407">
        <v>114311</v>
      </c>
    </row>
    <row r="19" spans="1:7" ht="15" customHeight="1" x14ac:dyDescent="0.25">
      <c r="A19" s="19"/>
      <c r="B19" s="19"/>
      <c r="C19" s="400">
        <v>14</v>
      </c>
      <c r="D19" s="415">
        <v>107819</v>
      </c>
      <c r="E19" s="404">
        <v>110874</v>
      </c>
      <c r="F19" s="404">
        <v>113036</v>
      </c>
      <c r="G19" s="407">
        <v>115354</v>
      </c>
    </row>
    <row r="20" spans="1:7" ht="15" customHeight="1" x14ac:dyDescent="0.25">
      <c r="A20" s="19"/>
      <c r="B20" s="19"/>
      <c r="C20" s="400">
        <v>15</v>
      </c>
      <c r="D20" s="415">
        <v>108862</v>
      </c>
      <c r="E20" s="404">
        <v>111760</v>
      </c>
      <c r="F20" s="404">
        <v>114079</v>
      </c>
      <c r="G20" s="407">
        <v>116397</v>
      </c>
    </row>
    <row r="21" spans="1:7" ht="15" customHeight="1" x14ac:dyDescent="0.25">
      <c r="A21" s="19"/>
      <c r="B21" s="19"/>
      <c r="C21" s="400">
        <v>16</v>
      </c>
      <c r="D21" s="415">
        <v>109905</v>
      </c>
      <c r="E21" s="404">
        <v>112804</v>
      </c>
      <c r="F21" s="404">
        <v>115122</v>
      </c>
      <c r="G21" s="407">
        <v>117440</v>
      </c>
    </row>
    <row r="22" spans="1:7" ht="15" customHeight="1" x14ac:dyDescent="0.25">
      <c r="A22" s="19"/>
      <c r="B22" s="19"/>
      <c r="C22" s="400">
        <v>17</v>
      </c>
      <c r="D22" s="415">
        <v>109905</v>
      </c>
      <c r="E22" s="404">
        <v>112804</v>
      </c>
      <c r="F22" s="404">
        <v>115122</v>
      </c>
      <c r="G22" s="407">
        <v>117440</v>
      </c>
    </row>
    <row r="23" spans="1:7" ht="15" customHeight="1" x14ac:dyDescent="0.25">
      <c r="A23" s="19"/>
      <c r="B23" s="19"/>
      <c r="C23" s="424">
        <v>18</v>
      </c>
      <c r="D23" s="415">
        <v>109905</v>
      </c>
      <c r="E23" s="404">
        <v>112804</v>
      </c>
      <c r="F23" s="404">
        <v>115122</v>
      </c>
      <c r="G23" s="407">
        <v>117440</v>
      </c>
    </row>
    <row r="24" spans="1:7" ht="15" customHeight="1" x14ac:dyDescent="0.25">
      <c r="A24" s="19"/>
      <c r="B24" s="19"/>
      <c r="C24" s="424">
        <v>19</v>
      </c>
      <c r="D24" s="415">
        <v>110948</v>
      </c>
      <c r="E24" s="404">
        <v>113847</v>
      </c>
      <c r="F24" s="404">
        <v>116165</v>
      </c>
      <c r="G24" s="407">
        <v>118483</v>
      </c>
    </row>
    <row r="25" spans="1:7" ht="15" customHeight="1" thickBot="1" x14ac:dyDescent="0.3">
      <c r="C25" s="425">
        <v>20</v>
      </c>
      <c r="D25" s="416">
        <v>110948</v>
      </c>
      <c r="E25" s="408">
        <v>113847</v>
      </c>
      <c r="F25" s="408">
        <v>116165</v>
      </c>
      <c r="G25" s="409">
        <v>118483</v>
      </c>
    </row>
    <row r="27" spans="1:7" ht="32.5" customHeight="1" x14ac:dyDescent="0.25">
      <c r="C27" s="530" t="s">
        <v>91</v>
      </c>
      <c r="D27" s="530"/>
      <c r="E27" s="530"/>
      <c r="F27" s="530"/>
      <c r="G27" s="530"/>
    </row>
  </sheetData>
  <mergeCells count="1">
    <mergeCell ref="C27:G27"/>
  </mergeCells>
  <printOptions horizontalCentered="1"/>
  <pageMargins left="0.5" right="0.5" top="0.75" bottom="0.5" header="0.3" footer="0.3"/>
  <pageSetup orientation="landscape" r:id="rId1"/>
  <headerFooter alignWithMargins="0">
    <oddFooter>&amp;L&amp;"Arial,Bold"&amp;F&amp;C&amp;"Arial,Bold"&amp;D&amp;R&amp;"Arial,Bold"Appendix C-8</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H27"/>
  <sheetViews>
    <sheetView showGridLines="0" view="pageLayout" zoomScaleNormal="120" workbookViewId="0">
      <selection activeCell="D11" sqref="D11"/>
    </sheetView>
  </sheetViews>
  <sheetFormatPr defaultColWidth="12.7265625" defaultRowHeight="15" customHeight="1" x14ac:dyDescent="0.25"/>
  <cols>
    <col min="1" max="1" width="3.7265625" style="15" customWidth="1"/>
    <col min="2" max="2" width="7.453125" style="15" customWidth="1"/>
    <col min="3" max="7" width="12.453125" style="15" customWidth="1"/>
    <col min="8" max="16384" width="12.7265625" style="15"/>
  </cols>
  <sheetData>
    <row r="1" spans="2:8" ht="15" customHeight="1" thickBot="1" x14ac:dyDescent="0.35">
      <c r="B1" s="3"/>
      <c r="C1" s="3"/>
      <c r="D1" s="3"/>
      <c r="E1" s="122"/>
    </row>
    <row r="2" spans="2:8" s="6" customFormat="1" ht="20.149999999999999" customHeight="1" thickBot="1" x14ac:dyDescent="0.4">
      <c r="B2" s="315" t="s">
        <v>224</v>
      </c>
      <c r="C2" s="304"/>
      <c r="D2" s="304"/>
      <c r="E2" s="234"/>
      <c r="F2" s="304"/>
      <c r="G2" s="304"/>
      <c r="H2" s="270" t="str">
        <f>ACCUM!A3</f>
        <v>FY'23</v>
      </c>
    </row>
    <row r="3" spans="2:8" ht="15" customHeight="1" thickBot="1" x14ac:dyDescent="0.35">
      <c r="B3" s="3"/>
      <c r="C3" s="3"/>
      <c r="D3" s="3"/>
      <c r="E3" s="122"/>
    </row>
    <row r="4" spans="2:8" ht="15" customHeight="1" thickBot="1" x14ac:dyDescent="0.3">
      <c r="C4" s="339" t="s">
        <v>82</v>
      </c>
      <c r="D4" s="413" t="s">
        <v>69</v>
      </c>
      <c r="E4" s="402" t="s">
        <v>72</v>
      </c>
      <c r="F4" s="402" t="s">
        <v>247</v>
      </c>
      <c r="G4" s="403" t="s">
        <v>248</v>
      </c>
    </row>
    <row r="5" spans="2:8" ht="15" customHeight="1" x14ac:dyDescent="0.25">
      <c r="C5" s="400">
        <v>0</v>
      </c>
      <c r="D5" s="422">
        <v>93213</v>
      </c>
      <c r="E5" s="405">
        <v>96111</v>
      </c>
      <c r="F5" s="405">
        <v>98430</v>
      </c>
      <c r="G5" s="406">
        <v>100748</v>
      </c>
    </row>
    <row r="6" spans="2:8" ht="15" customHeight="1" x14ac:dyDescent="0.25">
      <c r="C6" s="400">
        <v>1</v>
      </c>
      <c r="D6" s="415">
        <v>94256</v>
      </c>
      <c r="E6" s="404">
        <v>97154</v>
      </c>
      <c r="F6" s="404">
        <v>99473</v>
      </c>
      <c r="G6" s="407">
        <v>101791</v>
      </c>
    </row>
    <row r="7" spans="2:8" ht="15" customHeight="1" x14ac:dyDescent="0.25">
      <c r="C7" s="400">
        <v>2</v>
      </c>
      <c r="D7" s="415">
        <v>95299</v>
      </c>
      <c r="E7" s="404">
        <v>98198</v>
      </c>
      <c r="F7" s="404">
        <v>100516</v>
      </c>
      <c r="G7" s="407">
        <v>102834</v>
      </c>
    </row>
    <row r="8" spans="2:8" ht="15" customHeight="1" x14ac:dyDescent="0.25">
      <c r="C8" s="400">
        <v>3</v>
      </c>
      <c r="D8" s="415">
        <v>96342</v>
      </c>
      <c r="E8" s="404">
        <v>99241</v>
      </c>
      <c r="F8" s="404">
        <v>101559</v>
      </c>
      <c r="G8" s="407">
        <v>103877</v>
      </c>
    </row>
    <row r="9" spans="2:8" ht="15" customHeight="1" x14ac:dyDescent="0.25">
      <c r="C9" s="400">
        <v>4</v>
      </c>
      <c r="D9" s="415">
        <v>97386</v>
      </c>
      <c r="E9" s="404">
        <v>100284</v>
      </c>
      <c r="F9" s="404">
        <v>102602</v>
      </c>
      <c r="G9" s="407">
        <v>104920</v>
      </c>
    </row>
    <row r="10" spans="2:8" ht="15" customHeight="1" x14ac:dyDescent="0.25">
      <c r="C10" s="400">
        <v>5</v>
      </c>
      <c r="D10" s="415">
        <v>98430</v>
      </c>
      <c r="E10" s="404">
        <v>101327</v>
      </c>
      <c r="F10" s="404">
        <v>103645</v>
      </c>
      <c r="G10" s="407">
        <v>105964</v>
      </c>
    </row>
    <row r="11" spans="2:8" ht="15" customHeight="1" x14ac:dyDescent="0.25">
      <c r="C11" s="400">
        <v>6</v>
      </c>
      <c r="D11" s="415">
        <v>99473</v>
      </c>
      <c r="E11" s="404">
        <v>102370</v>
      </c>
      <c r="F11" s="404">
        <v>104688</v>
      </c>
      <c r="G11" s="407">
        <v>107008</v>
      </c>
    </row>
    <row r="12" spans="2:8" s="31" customFormat="1" ht="15" customHeight="1" x14ac:dyDescent="0.25">
      <c r="C12" s="400">
        <v>7</v>
      </c>
      <c r="D12" s="415">
        <v>100516</v>
      </c>
      <c r="E12" s="404">
        <v>103413</v>
      </c>
      <c r="F12" s="404">
        <v>105733</v>
      </c>
      <c r="G12" s="407">
        <v>108051</v>
      </c>
    </row>
    <row r="13" spans="2:8" s="31" customFormat="1" ht="15" customHeight="1" x14ac:dyDescent="0.25">
      <c r="C13" s="400">
        <v>8</v>
      </c>
      <c r="D13" s="415">
        <v>101559</v>
      </c>
      <c r="E13" s="404">
        <v>104457</v>
      </c>
      <c r="F13" s="404">
        <v>106776</v>
      </c>
      <c r="G13" s="407">
        <v>109094</v>
      </c>
    </row>
    <row r="14" spans="2:8" s="31" customFormat="1" ht="15" customHeight="1" x14ac:dyDescent="0.25">
      <c r="C14" s="400">
        <v>9</v>
      </c>
      <c r="D14" s="415">
        <v>102602</v>
      </c>
      <c r="E14" s="404">
        <v>105501</v>
      </c>
      <c r="F14" s="404">
        <v>107819</v>
      </c>
      <c r="G14" s="407">
        <v>110137</v>
      </c>
    </row>
    <row r="15" spans="2:8" ht="15" customHeight="1" x14ac:dyDescent="0.25">
      <c r="C15" s="400">
        <v>10</v>
      </c>
      <c r="D15" s="415">
        <v>103645</v>
      </c>
      <c r="E15" s="404">
        <v>106544</v>
      </c>
      <c r="F15" s="404">
        <v>108862</v>
      </c>
      <c r="G15" s="407">
        <v>111180</v>
      </c>
    </row>
    <row r="16" spans="2:8" ht="15" customHeight="1" x14ac:dyDescent="0.25">
      <c r="C16" s="400">
        <v>11</v>
      </c>
      <c r="D16" s="415">
        <v>104688</v>
      </c>
      <c r="E16" s="404">
        <v>107587</v>
      </c>
      <c r="F16" s="404">
        <v>109905</v>
      </c>
      <c r="G16" s="407">
        <v>112223</v>
      </c>
    </row>
    <row r="17" spans="1:8" ht="15" customHeight="1" x14ac:dyDescent="0.25">
      <c r="C17" s="400">
        <v>12</v>
      </c>
      <c r="D17" s="415">
        <v>105733</v>
      </c>
      <c r="E17" s="404">
        <v>108630</v>
      </c>
      <c r="F17" s="404">
        <v>110948</v>
      </c>
      <c r="G17" s="407">
        <v>113266</v>
      </c>
    </row>
    <row r="18" spans="1:8" ht="15" customHeight="1" x14ac:dyDescent="0.25">
      <c r="A18" s="19"/>
      <c r="C18" s="400">
        <v>13</v>
      </c>
      <c r="D18" s="415">
        <v>106776</v>
      </c>
      <c r="E18" s="404">
        <v>109673</v>
      </c>
      <c r="F18" s="404">
        <v>111991</v>
      </c>
      <c r="G18" s="407">
        <v>114311</v>
      </c>
    </row>
    <row r="19" spans="1:8" ht="15" customHeight="1" x14ac:dyDescent="0.25">
      <c r="A19" s="19"/>
      <c r="C19" s="400">
        <v>14</v>
      </c>
      <c r="D19" s="415">
        <v>107819</v>
      </c>
      <c r="E19" s="404">
        <v>110874</v>
      </c>
      <c r="F19" s="404">
        <v>113036</v>
      </c>
      <c r="G19" s="407">
        <v>115354</v>
      </c>
    </row>
    <row r="20" spans="1:8" ht="15" customHeight="1" x14ac:dyDescent="0.25">
      <c r="A20" s="19"/>
      <c r="C20" s="400">
        <v>15</v>
      </c>
      <c r="D20" s="415">
        <v>108862</v>
      </c>
      <c r="E20" s="404">
        <v>111760</v>
      </c>
      <c r="F20" s="404">
        <v>114079</v>
      </c>
      <c r="G20" s="407">
        <v>116397</v>
      </c>
    </row>
    <row r="21" spans="1:8" ht="15" customHeight="1" x14ac:dyDescent="0.25">
      <c r="A21" s="19"/>
      <c r="C21" s="400">
        <v>16</v>
      </c>
      <c r="D21" s="415">
        <v>109905</v>
      </c>
      <c r="E21" s="404">
        <v>112804</v>
      </c>
      <c r="F21" s="404">
        <v>115122</v>
      </c>
      <c r="G21" s="407">
        <v>117440</v>
      </c>
    </row>
    <row r="22" spans="1:8" ht="15" customHeight="1" x14ac:dyDescent="0.25">
      <c r="A22" s="19"/>
      <c r="C22" s="400">
        <v>17</v>
      </c>
      <c r="D22" s="415">
        <v>109905</v>
      </c>
      <c r="E22" s="404">
        <v>112804</v>
      </c>
      <c r="F22" s="404">
        <v>115122</v>
      </c>
      <c r="G22" s="407">
        <v>117440</v>
      </c>
    </row>
    <row r="23" spans="1:8" ht="15" customHeight="1" x14ac:dyDescent="0.25">
      <c r="A23" s="19"/>
      <c r="C23" s="424">
        <v>18</v>
      </c>
      <c r="D23" s="415">
        <v>109905</v>
      </c>
      <c r="E23" s="404">
        <v>112808</v>
      </c>
      <c r="F23" s="404">
        <v>115122</v>
      </c>
      <c r="G23" s="407">
        <v>117440</v>
      </c>
    </row>
    <row r="24" spans="1:8" ht="15" customHeight="1" x14ac:dyDescent="0.25">
      <c r="A24" s="19"/>
      <c r="C24" s="424">
        <v>19</v>
      </c>
      <c r="D24" s="415">
        <v>110948</v>
      </c>
      <c r="E24" s="404">
        <v>113847</v>
      </c>
      <c r="F24" s="404">
        <v>116165</v>
      </c>
      <c r="G24" s="407">
        <v>118483</v>
      </c>
    </row>
    <row r="25" spans="1:8" ht="15" customHeight="1" thickBot="1" x14ac:dyDescent="0.3">
      <c r="C25" s="401">
        <v>20</v>
      </c>
      <c r="D25" s="416">
        <v>110948</v>
      </c>
      <c r="E25" s="408">
        <v>113847</v>
      </c>
      <c r="F25" s="408">
        <v>116165</v>
      </c>
      <c r="G25" s="409">
        <v>118483</v>
      </c>
    </row>
    <row r="27" spans="1:8" ht="30.65" customHeight="1" x14ac:dyDescent="0.25">
      <c r="C27" s="530" t="s">
        <v>91</v>
      </c>
      <c r="D27" s="530"/>
      <c r="E27" s="530"/>
      <c r="F27" s="530"/>
      <c r="G27" s="530"/>
      <c r="H27" s="530"/>
    </row>
  </sheetData>
  <mergeCells count="1">
    <mergeCell ref="C27:H27"/>
  </mergeCells>
  <phoneticPr fontId="5" type="noConversion"/>
  <printOptions horizontalCentered="1"/>
  <pageMargins left="0.5" right="0.5" top="0.75" bottom="0.5" header="0.3" footer="0.3"/>
  <pageSetup orientation="landscape" r:id="rId1"/>
  <headerFooter alignWithMargins="0">
    <oddFooter>&amp;L&amp;"Arial,Bold"&amp;F&amp;C&amp;"Arial,Bold"&amp;D &amp;R&amp;"Arial,Bold"Appendix  C-9</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3F3FF-B662-40F7-AB66-85C331686726}">
  <sheetPr codeName="Sheet31">
    <pageSetUpPr fitToPage="1"/>
  </sheetPr>
  <dimension ref="A1:I28"/>
  <sheetViews>
    <sheetView showGridLines="0" view="pageLayout" zoomScaleNormal="120" workbookViewId="0">
      <selection activeCell="J16" sqref="J16"/>
    </sheetView>
  </sheetViews>
  <sheetFormatPr defaultColWidth="12.7265625" defaultRowHeight="15" customHeight="1" x14ac:dyDescent="0.25"/>
  <cols>
    <col min="1" max="1" width="7.453125" style="15" customWidth="1"/>
    <col min="2" max="2" width="5.26953125" style="15" customWidth="1"/>
    <col min="3" max="7" width="12.453125" style="15" customWidth="1"/>
    <col min="8" max="8" width="5.81640625" style="15" customWidth="1"/>
    <col min="9" max="9" width="10.1796875" style="15" customWidth="1"/>
    <col min="10" max="16384" width="12.7265625" style="15"/>
  </cols>
  <sheetData>
    <row r="1" spans="1:9" ht="15" customHeight="1" thickBot="1" x14ac:dyDescent="0.35">
      <c r="A1" s="3"/>
      <c r="B1" s="3"/>
      <c r="C1" s="3"/>
      <c r="D1" s="3"/>
      <c r="E1" s="122"/>
    </row>
    <row r="2" spans="1:9" s="6" customFormat="1" ht="20.149999999999999" customHeight="1" thickBot="1" x14ac:dyDescent="0.4">
      <c r="A2" s="315" t="s">
        <v>251</v>
      </c>
      <c r="B2" s="304"/>
      <c r="C2" s="304"/>
      <c r="D2" s="304"/>
      <c r="E2" s="234"/>
      <c r="F2" s="304"/>
      <c r="G2" s="304"/>
      <c r="H2" s="304"/>
      <c r="I2" s="270" t="str">
        <f>ACCUM!A3</f>
        <v>FY'23</v>
      </c>
    </row>
    <row r="3" spans="1:9" ht="15" customHeight="1" thickBot="1" x14ac:dyDescent="0.35">
      <c r="A3" s="3"/>
      <c r="B3" s="3"/>
      <c r="C3" s="3"/>
      <c r="D3" s="3"/>
      <c r="E3" s="122"/>
    </row>
    <row r="4" spans="1:9" ht="15" customHeight="1" thickBot="1" x14ac:dyDescent="0.35">
      <c r="C4" s="339" t="s">
        <v>82</v>
      </c>
      <c r="D4" s="413" t="s">
        <v>69</v>
      </c>
      <c r="E4" s="402" t="s">
        <v>72</v>
      </c>
      <c r="F4" s="402" t="s">
        <v>247</v>
      </c>
      <c r="G4" s="403" t="s">
        <v>248</v>
      </c>
      <c r="H4" s="338"/>
    </row>
    <row r="5" spans="1:9" ht="15" customHeight="1" x14ac:dyDescent="0.25">
      <c r="C5" s="400">
        <v>0</v>
      </c>
      <c r="D5" s="422">
        <v>66549</v>
      </c>
      <c r="E5" s="405">
        <v>69058</v>
      </c>
      <c r="F5" s="405">
        <v>71065</v>
      </c>
      <c r="G5" s="406">
        <v>73072</v>
      </c>
      <c r="H5" s="333"/>
    </row>
    <row r="6" spans="1:9" ht="15" customHeight="1" x14ac:dyDescent="0.25">
      <c r="C6" s="400">
        <v>1</v>
      </c>
      <c r="D6" s="415">
        <v>67451</v>
      </c>
      <c r="E6" s="404">
        <v>69961</v>
      </c>
      <c r="F6" s="404">
        <v>71968</v>
      </c>
      <c r="G6" s="407">
        <v>73976</v>
      </c>
      <c r="H6" s="333"/>
    </row>
    <row r="7" spans="1:9" ht="15" customHeight="1" x14ac:dyDescent="0.25">
      <c r="C7" s="400">
        <v>2</v>
      </c>
      <c r="D7" s="415">
        <v>68355</v>
      </c>
      <c r="E7" s="404">
        <v>70865</v>
      </c>
      <c r="F7" s="404">
        <v>72872</v>
      </c>
      <c r="G7" s="407">
        <v>74879</v>
      </c>
      <c r="H7" s="333"/>
    </row>
    <row r="8" spans="1:9" ht="15" customHeight="1" x14ac:dyDescent="0.25">
      <c r="C8" s="400">
        <v>3</v>
      </c>
      <c r="D8" s="415">
        <v>69259</v>
      </c>
      <c r="E8" s="404">
        <v>71767</v>
      </c>
      <c r="F8" s="404">
        <v>73776</v>
      </c>
      <c r="G8" s="407">
        <v>75783</v>
      </c>
      <c r="H8" s="333"/>
    </row>
    <row r="9" spans="1:9" ht="15" customHeight="1" x14ac:dyDescent="0.25">
      <c r="C9" s="400">
        <v>4</v>
      </c>
      <c r="D9" s="415">
        <v>70162</v>
      </c>
      <c r="E9" s="404">
        <v>72671</v>
      </c>
      <c r="F9" s="404">
        <v>74678</v>
      </c>
      <c r="G9" s="407">
        <v>76686</v>
      </c>
      <c r="H9" s="333"/>
    </row>
    <row r="10" spans="1:9" ht="15" customHeight="1" x14ac:dyDescent="0.25">
      <c r="C10" s="400">
        <v>5</v>
      </c>
      <c r="D10" s="415">
        <v>71065</v>
      </c>
      <c r="E10" s="404">
        <v>73575</v>
      </c>
      <c r="F10" s="404">
        <v>75582</v>
      </c>
      <c r="G10" s="407">
        <v>77589</v>
      </c>
      <c r="H10" s="333"/>
    </row>
    <row r="11" spans="1:9" ht="15" customHeight="1" x14ac:dyDescent="0.25">
      <c r="C11" s="400">
        <v>6</v>
      </c>
      <c r="D11" s="415">
        <v>71968</v>
      </c>
      <c r="E11" s="404">
        <v>74478</v>
      </c>
      <c r="F11" s="404">
        <v>76486</v>
      </c>
      <c r="G11" s="407">
        <v>78493</v>
      </c>
      <c r="H11" s="333"/>
    </row>
    <row r="12" spans="1:9" s="31" customFormat="1" ht="15" customHeight="1" x14ac:dyDescent="0.25">
      <c r="C12" s="400">
        <v>7</v>
      </c>
      <c r="D12" s="415">
        <v>72872</v>
      </c>
      <c r="E12" s="404">
        <v>75381</v>
      </c>
      <c r="F12" s="404">
        <v>77388</v>
      </c>
      <c r="G12" s="407">
        <v>79396</v>
      </c>
      <c r="H12" s="333"/>
    </row>
    <row r="13" spans="1:9" s="31" customFormat="1" ht="15" customHeight="1" x14ac:dyDescent="0.25">
      <c r="C13" s="400">
        <v>8</v>
      </c>
      <c r="D13" s="415">
        <v>73776</v>
      </c>
      <c r="E13" s="404">
        <v>76285</v>
      </c>
      <c r="F13" s="404">
        <v>78292</v>
      </c>
      <c r="G13" s="407">
        <v>80299</v>
      </c>
      <c r="H13" s="333"/>
    </row>
    <row r="14" spans="1:9" s="31" customFormat="1" ht="15" customHeight="1" x14ac:dyDescent="0.25">
      <c r="C14" s="400">
        <v>9</v>
      </c>
      <c r="D14" s="415">
        <v>74678</v>
      </c>
      <c r="E14" s="404">
        <v>77188</v>
      </c>
      <c r="F14" s="404">
        <v>79195</v>
      </c>
      <c r="G14" s="407">
        <v>81203</v>
      </c>
      <c r="H14" s="333"/>
    </row>
    <row r="15" spans="1:9" ht="15" customHeight="1" x14ac:dyDescent="0.25">
      <c r="C15" s="400">
        <v>10</v>
      </c>
      <c r="D15" s="415">
        <v>75582</v>
      </c>
      <c r="E15" s="404">
        <v>78092</v>
      </c>
      <c r="F15" s="404">
        <v>80099</v>
      </c>
      <c r="G15" s="407">
        <v>82106</v>
      </c>
      <c r="H15" s="333"/>
    </row>
    <row r="16" spans="1:9" ht="15" customHeight="1" x14ac:dyDescent="0.25">
      <c r="C16" s="400">
        <v>11</v>
      </c>
      <c r="D16" s="415">
        <v>76486</v>
      </c>
      <c r="E16" s="404">
        <v>78994</v>
      </c>
      <c r="F16" s="404">
        <v>81002</v>
      </c>
      <c r="G16" s="407">
        <v>83010</v>
      </c>
      <c r="H16" s="333"/>
    </row>
    <row r="17" spans="3:9" ht="15" customHeight="1" x14ac:dyDescent="0.25">
      <c r="C17" s="400">
        <v>12</v>
      </c>
      <c r="D17" s="415">
        <v>77388</v>
      </c>
      <c r="E17" s="404">
        <v>79898</v>
      </c>
      <c r="F17" s="404">
        <v>81905</v>
      </c>
      <c r="G17" s="407">
        <v>83913</v>
      </c>
      <c r="H17" s="333"/>
    </row>
    <row r="18" spans="3:9" ht="15" customHeight="1" x14ac:dyDescent="0.25">
      <c r="C18" s="400">
        <v>13</v>
      </c>
      <c r="D18" s="415">
        <v>78292</v>
      </c>
      <c r="E18" s="404">
        <v>80802</v>
      </c>
      <c r="F18" s="404">
        <v>82809</v>
      </c>
      <c r="G18" s="407">
        <v>84816</v>
      </c>
      <c r="H18" s="333"/>
    </row>
    <row r="19" spans="3:9" ht="15" customHeight="1" x14ac:dyDescent="0.25">
      <c r="C19" s="400">
        <v>14</v>
      </c>
      <c r="D19" s="415">
        <v>79195</v>
      </c>
      <c r="E19" s="404">
        <v>81842</v>
      </c>
      <c r="F19" s="404">
        <v>83713</v>
      </c>
      <c r="G19" s="407">
        <v>85720</v>
      </c>
      <c r="H19" s="333"/>
    </row>
    <row r="20" spans="3:9" ht="15" customHeight="1" x14ac:dyDescent="0.25">
      <c r="C20" s="400">
        <v>15</v>
      </c>
      <c r="D20" s="415">
        <v>80099</v>
      </c>
      <c r="E20" s="404">
        <v>82608</v>
      </c>
      <c r="F20" s="404">
        <v>84615</v>
      </c>
      <c r="G20" s="407">
        <v>86623</v>
      </c>
      <c r="H20" s="333"/>
    </row>
    <row r="21" spans="3:9" ht="15" customHeight="1" x14ac:dyDescent="0.25">
      <c r="C21" s="400">
        <v>16</v>
      </c>
      <c r="D21" s="415">
        <v>81002</v>
      </c>
      <c r="E21" s="404">
        <v>83512</v>
      </c>
      <c r="F21" s="404">
        <v>85519</v>
      </c>
      <c r="G21" s="407">
        <v>87526</v>
      </c>
      <c r="H21" s="333"/>
    </row>
    <row r="22" spans="3:9" ht="15" customHeight="1" x14ac:dyDescent="0.25">
      <c r="C22" s="400">
        <v>17</v>
      </c>
      <c r="D22" s="415">
        <v>81002</v>
      </c>
      <c r="E22" s="404">
        <v>83512</v>
      </c>
      <c r="F22" s="404">
        <v>85519</v>
      </c>
      <c r="G22" s="407">
        <v>87526</v>
      </c>
      <c r="H22" s="333"/>
    </row>
    <row r="23" spans="3:9" ht="15" customHeight="1" x14ac:dyDescent="0.25">
      <c r="C23" s="424">
        <v>18</v>
      </c>
      <c r="D23" s="415">
        <v>81002</v>
      </c>
      <c r="E23" s="404">
        <v>83512</v>
      </c>
      <c r="F23" s="404">
        <v>85519</v>
      </c>
      <c r="G23" s="407">
        <v>87526</v>
      </c>
      <c r="H23" s="333"/>
    </row>
    <row r="24" spans="3:9" ht="15" customHeight="1" x14ac:dyDescent="0.25">
      <c r="C24" s="424">
        <v>19</v>
      </c>
      <c r="D24" s="415">
        <v>81905</v>
      </c>
      <c r="E24" s="404">
        <v>84415</v>
      </c>
      <c r="F24" s="404">
        <v>86422</v>
      </c>
      <c r="G24" s="407">
        <v>88430</v>
      </c>
      <c r="H24" s="333"/>
    </row>
    <row r="25" spans="3:9" ht="15" customHeight="1" thickBot="1" x14ac:dyDescent="0.3">
      <c r="C25" s="401">
        <v>20</v>
      </c>
      <c r="D25" s="416">
        <v>81905</v>
      </c>
      <c r="E25" s="408">
        <v>84415</v>
      </c>
      <c r="F25" s="408">
        <v>86422</v>
      </c>
      <c r="G25" s="409">
        <v>88430</v>
      </c>
      <c r="H25" s="333"/>
    </row>
    <row r="27" spans="3:9" ht="15" customHeight="1" x14ac:dyDescent="0.25">
      <c r="C27" s="530" t="s">
        <v>91</v>
      </c>
      <c r="D27" s="530"/>
      <c r="E27" s="530"/>
      <c r="F27" s="530"/>
      <c r="G27" s="530"/>
      <c r="H27" s="530"/>
      <c r="I27" s="530"/>
    </row>
    <row r="28" spans="3:9" ht="15" customHeight="1" x14ac:dyDescent="0.25">
      <c r="C28" s="530"/>
      <c r="D28" s="530"/>
      <c r="E28" s="530"/>
      <c r="F28" s="530"/>
      <c r="G28" s="530"/>
      <c r="H28" s="530"/>
      <c r="I28" s="530"/>
    </row>
  </sheetData>
  <mergeCells count="1">
    <mergeCell ref="C27:I28"/>
  </mergeCells>
  <printOptions horizontalCentered="1"/>
  <pageMargins left="0.5" right="0.5" top="0.75" bottom="0.5" header="0.3" footer="0.3"/>
  <pageSetup orientation="landscape" r:id="rId1"/>
  <headerFooter alignWithMargins="0">
    <oddFooter>&amp;L&amp;"Arial,Bold"&amp;F&amp;C&amp;"Arial,Bold"&amp;D &amp;R&amp;"Arial,Bold"Appendix C-10</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M34"/>
  <sheetViews>
    <sheetView showGridLines="0" view="pageLayout" zoomScaleNormal="100" workbookViewId="0">
      <selection activeCell="D27" sqref="D27:I27"/>
    </sheetView>
  </sheetViews>
  <sheetFormatPr defaultColWidth="12.7265625" defaultRowHeight="15" customHeight="1" x14ac:dyDescent="0.25"/>
  <cols>
    <col min="1" max="1" width="3.7265625" style="15" customWidth="1"/>
    <col min="2" max="2" width="10" style="15" customWidth="1"/>
    <col min="3" max="3" width="8.453125" style="15" customWidth="1"/>
    <col min="4" max="8" width="12.453125" style="15" customWidth="1"/>
    <col min="9" max="16384" width="12.7265625" style="15"/>
  </cols>
  <sheetData>
    <row r="1" spans="1:13" ht="15" customHeight="1" thickBot="1" x14ac:dyDescent="0.35">
      <c r="C1" s="3" t="s">
        <v>0</v>
      </c>
      <c r="D1" s="3"/>
      <c r="E1" s="3"/>
      <c r="F1" s="3"/>
    </row>
    <row r="2" spans="1:13" s="6" customFormat="1" ht="20.149999999999999" customHeight="1" thickBot="1" x14ac:dyDescent="0.4">
      <c r="C2" s="296" t="s">
        <v>250</v>
      </c>
      <c r="D2" s="297"/>
      <c r="E2" s="297"/>
      <c r="F2" s="297"/>
      <c r="G2" s="114"/>
      <c r="H2" s="114"/>
      <c r="I2" s="270" t="str">
        <f>ACCUM!A3</f>
        <v>FY'23</v>
      </c>
    </row>
    <row r="3" spans="1:13" ht="15" customHeight="1" thickBot="1" x14ac:dyDescent="0.35">
      <c r="C3" s="3"/>
      <c r="D3" s="3"/>
      <c r="E3" s="3"/>
      <c r="F3" s="3"/>
    </row>
    <row r="4" spans="1:13" ht="15" customHeight="1" thickBot="1" x14ac:dyDescent="0.3">
      <c r="D4" s="339" t="s">
        <v>82</v>
      </c>
      <c r="E4" s="413" t="s">
        <v>69</v>
      </c>
      <c r="F4" s="402" t="s">
        <v>72</v>
      </c>
      <c r="G4" s="420" t="s">
        <v>247</v>
      </c>
      <c r="H4" s="402" t="s">
        <v>248</v>
      </c>
      <c r="M4" s="307"/>
    </row>
    <row r="5" spans="1:13" ht="15" customHeight="1" x14ac:dyDescent="0.25">
      <c r="D5" s="400">
        <v>0</v>
      </c>
      <c r="E5" s="422">
        <v>73237</v>
      </c>
      <c r="F5" s="405">
        <v>75746</v>
      </c>
      <c r="G5" s="405">
        <v>77755</v>
      </c>
      <c r="H5" s="406">
        <v>79762</v>
      </c>
      <c r="M5" s="307"/>
    </row>
    <row r="6" spans="1:13" ht="15" customHeight="1" x14ac:dyDescent="0.25">
      <c r="D6" s="400">
        <v>1</v>
      </c>
      <c r="E6" s="415">
        <v>74141</v>
      </c>
      <c r="F6" s="404">
        <v>76650</v>
      </c>
      <c r="G6" s="404">
        <v>78657</v>
      </c>
      <c r="H6" s="407">
        <v>80664</v>
      </c>
      <c r="M6" s="307"/>
    </row>
    <row r="7" spans="1:13" ht="15" customHeight="1" x14ac:dyDescent="0.25">
      <c r="D7" s="400">
        <v>2</v>
      </c>
      <c r="E7" s="415">
        <v>75044</v>
      </c>
      <c r="F7" s="404">
        <v>77553</v>
      </c>
      <c r="G7" s="404">
        <v>79561</v>
      </c>
      <c r="H7" s="407">
        <v>81568</v>
      </c>
      <c r="M7" s="307"/>
    </row>
    <row r="8" spans="1:13" ht="15" customHeight="1" x14ac:dyDescent="0.25">
      <c r="D8" s="400">
        <v>3</v>
      </c>
      <c r="E8" s="415">
        <v>75947</v>
      </c>
      <c r="F8" s="404">
        <v>78457</v>
      </c>
      <c r="G8" s="404">
        <v>80464</v>
      </c>
      <c r="H8" s="407">
        <v>82472</v>
      </c>
      <c r="M8" s="307"/>
    </row>
    <row r="9" spans="1:13" ht="15" customHeight="1" x14ac:dyDescent="0.25">
      <c r="D9" s="400">
        <v>4</v>
      </c>
      <c r="E9" s="415">
        <v>76851</v>
      </c>
      <c r="F9" s="404">
        <v>79360</v>
      </c>
      <c r="G9" s="404">
        <v>81368</v>
      </c>
      <c r="H9" s="407">
        <v>83375</v>
      </c>
      <c r="M9" s="307"/>
    </row>
    <row r="10" spans="1:13" ht="15" customHeight="1" x14ac:dyDescent="0.25">
      <c r="D10" s="400">
        <v>5</v>
      </c>
      <c r="E10" s="415">
        <v>77755</v>
      </c>
      <c r="F10" s="404">
        <v>79948</v>
      </c>
      <c r="G10" s="404">
        <v>82271</v>
      </c>
      <c r="H10" s="407">
        <v>84278</v>
      </c>
      <c r="M10" s="307"/>
    </row>
    <row r="11" spans="1:13" ht="15" customHeight="1" x14ac:dyDescent="0.25">
      <c r="D11" s="400">
        <v>6</v>
      </c>
      <c r="E11" s="415">
        <v>78657</v>
      </c>
      <c r="F11" s="404">
        <v>81167</v>
      </c>
      <c r="G11" s="404">
        <v>83174</v>
      </c>
      <c r="H11" s="407">
        <v>85182</v>
      </c>
      <c r="M11" s="307"/>
    </row>
    <row r="12" spans="1:13" ht="15" customHeight="1" x14ac:dyDescent="0.25">
      <c r="D12" s="400">
        <v>7</v>
      </c>
      <c r="E12" s="415">
        <v>79561</v>
      </c>
      <c r="F12" s="404">
        <v>82071</v>
      </c>
      <c r="G12" s="404">
        <v>84078</v>
      </c>
      <c r="H12" s="407">
        <v>86085</v>
      </c>
      <c r="M12" s="307"/>
    </row>
    <row r="13" spans="1:13" s="19" customFormat="1" ht="15" customHeight="1" x14ac:dyDescent="0.25">
      <c r="D13" s="400">
        <v>8</v>
      </c>
      <c r="E13" s="415">
        <v>80464</v>
      </c>
      <c r="F13" s="404">
        <v>82973</v>
      </c>
      <c r="G13" s="404">
        <v>84982</v>
      </c>
      <c r="H13" s="407">
        <v>86989</v>
      </c>
    </row>
    <row r="14" spans="1:13" ht="15" customHeight="1" x14ac:dyDescent="0.25">
      <c r="A14" s="31"/>
      <c r="B14" s="31"/>
      <c r="D14" s="400">
        <v>9</v>
      </c>
      <c r="E14" s="415">
        <v>81368</v>
      </c>
      <c r="F14" s="404">
        <v>83877</v>
      </c>
      <c r="G14" s="404">
        <v>85884</v>
      </c>
      <c r="H14" s="407">
        <v>87891</v>
      </c>
    </row>
    <row r="15" spans="1:13" ht="15" customHeight="1" x14ac:dyDescent="0.25">
      <c r="A15" s="31"/>
      <c r="B15" s="31"/>
      <c r="D15" s="400">
        <v>10</v>
      </c>
      <c r="E15" s="415">
        <v>82271</v>
      </c>
      <c r="F15" s="404">
        <v>84780</v>
      </c>
      <c r="G15" s="404">
        <v>86788</v>
      </c>
      <c r="H15" s="407">
        <v>88795</v>
      </c>
    </row>
    <row r="16" spans="1:13" ht="15" customHeight="1" x14ac:dyDescent="0.25">
      <c r="A16" s="31"/>
      <c r="B16" s="31"/>
      <c r="D16" s="400">
        <v>11</v>
      </c>
      <c r="E16" s="415">
        <v>83174</v>
      </c>
      <c r="F16" s="404">
        <v>85684</v>
      </c>
      <c r="G16" s="404">
        <v>87691</v>
      </c>
      <c r="H16" s="407">
        <v>89699</v>
      </c>
    </row>
    <row r="17" spans="1:9" ht="15" customHeight="1" x14ac:dyDescent="0.25">
      <c r="A17" s="31"/>
      <c r="B17" s="31"/>
      <c r="D17" s="400">
        <v>12</v>
      </c>
      <c r="E17" s="415">
        <v>84078</v>
      </c>
      <c r="F17" s="404">
        <v>86587</v>
      </c>
      <c r="G17" s="404">
        <v>88594</v>
      </c>
      <c r="H17" s="407">
        <v>90602</v>
      </c>
    </row>
    <row r="18" spans="1:9" ht="15" customHeight="1" x14ac:dyDescent="0.25">
      <c r="A18" s="31"/>
      <c r="B18" s="31"/>
      <c r="D18" s="400">
        <v>13</v>
      </c>
      <c r="E18" s="415">
        <v>84982</v>
      </c>
      <c r="F18" s="404">
        <v>87490</v>
      </c>
      <c r="G18" s="404">
        <v>89498</v>
      </c>
      <c r="H18" s="407">
        <v>91505</v>
      </c>
    </row>
    <row r="19" spans="1:9" ht="15" customHeight="1" x14ac:dyDescent="0.25">
      <c r="A19" s="31"/>
      <c r="B19" s="31"/>
      <c r="D19" s="400">
        <v>14</v>
      </c>
      <c r="E19" s="415">
        <v>85884</v>
      </c>
      <c r="F19" s="404">
        <v>88530</v>
      </c>
      <c r="G19" s="404">
        <v>90401</v>
      </c>
      <c r="H19" s="407">
        <v>92409</v>
      </c>
    </row>
    <row r="20" spans="1:9" ht="15" customHeight="1" x14ac:dyDescent="0.25">
      <c r="A20" s="332"/>
      <c r="B20" s="332"/>
      <c r="D20" s="400">
        <v>15</v>
      </c>
      <c r="E20" s="415">
        <v>86788</v>
      </c>
      <c r="F20" s="404">
        <v>89298</v>
      </c>
      <c r="G20" s="404">
        <v>91305</v>
      </c>
      <c r="H20" s="407">
        <v>93312</v>
      </c>
    </row>
    <row r="21" spans="1:9" ht="15" customHeight="1" x14ac:dyDescent="0.25">
      <c r="A21" s="332"/>
      <c r="B21" s="332"/>
      <c r="D21" s="400">
        <v>16</v>
      </c>
      <c r="E21" s="415">
        <v>87691</v>
      </c>
      <c r="F21" s="404">
        <v>90200</v>
      </c>
      <c r="G21" s="404">
        <v>92208</v>
      </c>
      <c r="H21" s="407">
        <v>94216</v>
      </c>
    </row>
    <row r="22" spans="1:9" ht="15" customHeight="1" x14ac:dyDescent="0.25">
      <c r="A22" s="332"/>
      <c r="B22" s="332"/>
      <c r="D22" s="400">
        <v>17</v>
      </c>
      <c r="E22" s="415">
        <v>87691</v>
      </c>
      <c r="F22" s="404">
        <v>90200</v>
      </c>
      <c r="G22" s="404">
        <v>92208</v>
      </c>
      <c r="H22" s="407">
        <v>94216</v>
      </c>
    </row>
    <row r="23" spans="1:9" ht="15" customHeight="1" x14ac:dyDescent="0.25">
      <c r="A23" s="332"/>
      <c r="B23" s="332"/>
      <c r="D23" s="400">
        <v>18</v>
      </c>
      <c r="E23" s="415">
        <v>87691</v>
      </c>
      <c r="F23" s="404">
        <v>90200</v>
      </c>
      <c r="G23" s="404">
        <v>92208</v>
      </c>
      <c r="H23" s="407">
        <v>94216</v>
      </c>
    </row>
    <row r="24" spans="1:9" ht="15" customHeight="1" x14ac:dyDescent="0.25">
      <c r="A24" s="332"/>
      <c r="B24" s="332"/>
      <c r="D24" s="400">
        <v>19</v>
      </c>
      <c r="E24" s="415">
        <v>88594</v>
      </c>
      <c r="F24" s="404">
        <v>91104</v>
      </c>
      <c r="G24" s="404">
        <v>93111</v>
      </c>
      <c r="H24" s="407">
        <v>95118</v>
      </c>
    </row>
    <row r="25" spans="1:9" ht="15" customHeight="1" thickBot="1" x14ac:dyDescent="0.3">
      <c r="A25" s="332"/>
      <c r="B25" s="332"/>
      <c r="D25" s="401">
        <v>20</v>
      </c>
      <c r="E25" s="416">
        <v>88594</v>
      </c>
      <c r="F25" s="408">
        <v>91104</v>
      </c>
      <c r="G25" s="408">
        <v>93111</v>
      </c>
      <c r="H25" s="409">
        <v>95118</v>
      </c>
    </row>
    <row r="26" spans="1:9" ht="15" customHeight="1" x14ac:dyDescent="0.25">
      <c r="A26" s="305"/>
      <c r="B26" s="305"/>
      <c r="C26" s="531"/>
      <c r="D26" s="531"/>
      <c r="E26" s="531"/>
      <c r="F26" s="531"/>
    </row>
    <row r="27" spans="1:9" ht="27.65" customHeight="1" x14ac:dyDescent="0.25">
      <c r="A27" s="305"/>
      <c r="B27" s="305"/>
      <c r="D27" s="530" t="s">
        <v>91</v>
      </c>
      <c r="E27" s="530"/>
      <c r="F27" s="530"/>
      <c r="G27" s="530"/>
      <c r="H27" s="530"/>
      <c r="I27" s="530"/>
    </row>
    <row r="28" spans="1:9" ht="15" customHeight="1" x14ac:dyDescent="0.25">
      <c r="A28" s="305"/>
      <c r="B28" s="305"/>
      <c r="C28" s="299"/>
      <c r="D28" s="299"/>
    </row>
    <row r="29" spans="1:9" ht="15" customHeight="1" x14ac:dyDescent="0.25">
      <c r="A29" s="305"/>
      <c r="B29" s="305"/>
      <c r="C29" s="299"/>
      <c r="D29" s="299"/>
    </row>
    <row r="30" spans="1:9" ht="15" customHeight="1" x14ac:dyDescent="0.25">
      <c r="A30" s="305"/>
      <c r="B30" s="305"/>
      <c r="C30" s="299"/>
      <c r="D30" s="299"/>
    </row>
    <row r="31" spans="1:9" ht="15" customHeight="1" x14ac:dyDescent="0.25">
      <c r="A31" s="305"/>
      <c r="B31" s="305"/>
      <c r="C31" s="299"/>
      <c r="D31" s="299"/>
    </row>
    <row r="32" spans="1:9" ht="15" customHeight="1" x14ac:dyDescent="0.25">
      <c r="A32" s="305"/>
      <c r="B32" s="305"/>
      <c r="C32" s="299"/>
      <c r="D32" s="299"/>
    </row>
    <row r="34" spans="1:6" ht="15" customHeight="1" x14ac:dyDescent="0.25">
      <c r="A34" s="40"/>
      <c r="B34" s="40"/>
      <c r="C34" s="40"/>
      <c r="D34" s="40"/>
      <c r="E34" s="40"/>
      <c r="F34" s="40"/>
    </row>
  </sheetData>
  <mergeCells count="2">
    <mergeCell ref="C26:F26"/>
    <mergeCell ref="D27:I27"/>
  </mergeCells>
  <pageMargins left="0.7" right="0.7" top="0.75" bottom="0.75" header="0.3" footer="0.3"/>
  <pageSetup orientation="landscape" r:id="rId1"/>
  <headerFooter>
    <oddFooter>&amp;L&amp;"Arial,Bold"&amp;F&amp;C&amp;"Arial,Bold"&amp;D&amp;R&amp;"Arial,Bold"Appendix C-11</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L35"/>
  <sheetViews>
    <sheetView showGridLines="0" view="pageLayout" zoomScaleNormal="120" workbookViewId="0">
      <selection activeCell="G14" sqref="G14"/>
    </sheetView>
  </sheetViews>
  <sheetFormatPr defaultColWidth="12.7265625" defaultRowHeight="15" customHeight="1" x14ac:dyDescent="0.25"/>
  <cols>
    <col min="1" max="1" width="12.7265625" style="15"/>
    <col min="2" max="2" width="2.81640625" style="15" customWidth="1"/>
    <col min="3" max="7" width="12.453125" style="15" customWidth="1"/>
    <col min="8" max="8" width="6.453125" style="15" customWidth="1"/>
    <col min="9" max="16384" width="12.7265625" style="15"/>
  </cols>
  <sheetData>
    <row r="1" spans="1:12" ht="15" customHeight="1" thickBot="1" x14ac:dyDescent="0.35">
      <c r="A1" s="3" t="s">
        <v>0</v>
      </c>
      <c r="B1" s="3"/>
      <c r="C1" s="3"/>
      <c r="D1" s="122"/>
      <c r="E1" s="3"/>
    </row>
    <row r="2" spans="1:12" s="6" customFormat="1" ht="20.149999999999999" customHeight="1" thickBot="1" x14ac:dyDescent="0.4">
      <c r="A2" s="268" t="s">
        <v>165</v>
      </c>
      <c r="B2" s="272"/>
      <c r="C2" s="272"/>
      <c r="D2" s="272"/>
      <c r="E2" s="272"/>
      <c r="F2" s="114"/>
      <c r="G2" s="114"/>
      <c r="H2" s="114"/>
      <c r="I2" s="270" t="str">
        <f>ACCUM!A3</f>
        <v>FY'23</v>
      </c>
    </row>
    <row r="3" spans="1:12" ht="15" customHeight="1" thickBot="1" x14ac:dyDescent="0.35">
      <c r="A3" s="3"/>
      <c r="B3" s="3"/>
      <c r="C3" s="3"/>
      <c r="D3" s="122"/>
      <c r="E3" s="3"/>
    </row>
    <row r="4" spans="1:12" ht="15" customHeight="1" thickBot="1" x14ac:dyDescent="0.35">
      <c r="C4" s="339" t="s">
        <v>82</v>
      </c>
      <c r="D4" s="413" t="s">
        <v>69</v>
      </c>
      <c r="E4" s="421" t="s">
        <v>72</v>
      </c>
      <c r="F4" s="426" t="s">
        <v>247</v>
      </c>
      <c r="G4" s="402" t="s">
        <v>248</v>
      </c>
      <c r="H4" s="21"/>
    </row>
    <row r="5" spans="1:12" ht="15" customHeight="1" x14ac:dyDescent="0.25">
      <c r="C5" s="400">
        <v>0</v>
      </c>
      <c r="D5" s="422">
        <v>84579</v>
      </c>
      <c r="E5" s="405">
        <v>87478</v>
      </c>
      <c r="F5" s="405">
        <v>89796</v>
      </c>
      <c r="G5" s="406">
        <v>92114</v>
      </c>
      <c r="H5" s="333"/>
    </row>
    <row r="6" spans="1:12" ht="15" customHeight="1" x14ac:dyDescent="0.25">
      <c r="C6" s="400">
        <v>1</v>
      </c>
      <c r="D6" s="415">
        <v>85622</v>
      </c>
      <c r="E6" s="404">
        <v>88521</v>
      </c>
      <c r="F6" s="404">
        <v>90839</v>
      </c>
      <c r="G6" s="407">
        <v>93157</v>
      </c>
      <c r="H6" s="333"/>
    </row>
    <row r="7" spans="1:12" ht="15" customHeight="1" x14ac:dyDescent="0.25">
      <c r="C7" s="400">
        <v>2</v>
      </c>
      <c r="D7" s="415">
        <v>86665</v>
      </c>
      <c r="E7" s="404">
        <v>89564</v>
      </c>
      <c r="F7" s="404">
        <v>91882</v>
      </c>
      <c r="G7" s="407">
        <v>94200</v>
      </c>
      <c r="H7" s="333"/>
    </row>
    <row r="8" spans="1:12" ht="15" customHeight="1" x14ac:dyDescent="0.25">
      <c r="C8" s="400">
        <v>3</v>
      </c>
      <c r="D8" s="415">
        <v>87709</v>
      </c>
      <c r="E8" s="404">
        <v>90607</v>
      </c>
      <c r="F8" s="404">
        <v>92925</v>
      </c>
      <c r="G8" s="407">
        <v>95244</v>
      </c>
      <c r="H8" s="333"/>
    </row>
    <row r="9" spans="1:12" ht="15" customHeight="1" x14ac:dyDescent="0.25">
      <c r="C9" s="400">
        <v>4</v>
      </c>
      <c r="D9" s="415">
        <v>88753</v>
      </c>
      <c r="E9" s="404">
        <v>91650</v>
      </c>
      <c r="F9" s="404">
        <v>93969</v>
      </c>
      <c r="G9" s="407">
        <v>96287</v>
      </c>
      <c r="H9" s="333"/>
      <c r="L9" s="307"/>
    </row>
    <row r="10" spans="1:12" ht="15" customHeight="1" x14ac:dyDescent="0.25">
      <c r="C10" s="400">
        <v>5</v>
      </c>
      <c r="D10" s="415">
        <v>89796</v>
      </c>
      <c r="E10" s="404">
        <v>92693</v>
      </c>
      <c r="F10" s="404">
        <v>95012</v>
      </c>
      <c r="G10" s="407">
        <v>97330</v>
      </c>
      <c r="H10" s="333"/>
      <c r="L10" s="307"/>
    </row>
    <row r="11" spans="1:12" ht="15" customHeight="1" x14ac:dyDescent="0.25">
      <c r="C11" s="400">
        <v>6</v>
      </c>
      <c r="D11" s="415">
        <v>90839</v>
      </c>
      <c r="E11" s="404">
        <v>93737</v>
      </c>
      <c r="F11" s="404">
        <v>96055</v>
      </c>
      <c r="G11" s="407">
        <v>98374</v>
      </c>
      <c r="H11" s="333"/>
      <c r="L11" s="307"/>
    </row>
    <row r="12" spans="1:12" s="31" customFormat="1" ht="15" customHeight="1" x14ac:dyDescent="0.25">
      <c r="C12" s="400">
        <v>7</v>
      </c>
      <c r="D12" s="415">
        <v>91882</v>
      </c>
      <c r="E12" s="404">
        <v>94780</v>
      </c>
      <c r="F12" s="404">
        <v>97099</v>
      </c>
      <c r="G12" s="407">
        <v>99417</v>
      </c>
      <c r="H12" s="333"/>
      <c r="L12" s="307"/>
    </row>
    <row r="13" spans="1:12" s="31" customFormat="1" ht="15" customHeight="1" x14ac:dyDescent="0.25">
      <c r="C13" s="400">
        <v>8</v>
      </c>
      <c r="D13" s="415">
        <v>92925</v>
      </c>
      <c r="E13" s="404">
        <v>95824</v>
      </c>
      <c r="F13" s="404">
        <v>98142</v>
      </c>
      <c r="G13" s="407">
        <v>100460</v>
      </c>
      <c r="H13" s="333"/>
      <c r="L13" s="307"/>
    </row>
    <row r="14" spans="1:12" s="31" customFormat="1" ht="15" customHeight="1" x14ac:dyDescent="0.25">
      <c r="C14" s="400">
        <v>9</v>
      </c>
      <c r="D14" s="415">
        <v>93969</v>
      </c>
      <c r="E14" s="404">
        <v>96867</v>
      </c>
      <c r="F14" s="404">
        <v>99185</v>
      </c>
      <c r="G14" s="407">
        <v>101503</v>
      </c>
      <c r="H14" s="333"/>
      <c r="L14" s="307"/>
    </row>
    <row r="15" spans="1:12" s="31" customFormat="1" ht="15" customHeight="1" x14ac:dyDescent="0.25">
      <c r="C15" s="400">
        <v>10</v>
      </c>
      <c r="D15" s="415">
        <v>95012</v>
      </c>
      <c r="E15" s="404">
        <v>97910</v>
      </c>
      <c r="F15" s="404">
        <v>100228</v>
      </c>
      <c r="G15" s="407">
        <v>102547</v>
      </c>
      <c r="H15" s="333"/>
      <c r="L15" s="307"/>
    </row>
    <row r="16" spans="1:12" ht="15" customHeight="1" x14ac:dyDescent="0.25">
      <c r="C16" s="400">
        <v>11</v>
      </c>
      <c r="D16" s="415">
        <v>96055</v>
      </c>
      <c r="E16" s="404">
        <v>98953</v>
      </c>
      <c r="F16" s="404">
        <v>101272</v>
      </c>
      <c r="G16" s="407">
        <v>103590</v>
      </c>
      <c r="H16" s="333"/>
      <c r="L16" s="307"/>
    </row>
    <row r="17" spans="1:12" ht="15" customHeight="1" x14ac:dyDescent="0.25">
      <c r="C17" s="400">
        <v>12</v>
      </c>
      <c r="D17" s="415">
        <v>97099</v>
      </c>
      <c r="E17" s="404">
        <v>99996</v>
      </c>
      <c r="F17" s="404">
        <v>102315</v>
      </c>
      <c r="G17" s="407">
        <v>104633</v>
      </c>
      <c r="H17" s="333"/>
      <c r="L17" s="307"/>
    </row>
    <row r="18" spans="1:12" ht="15" customHeight="1" x14ac:dyDescent="0.25">
      <c r="C18" s="400">
        <v>13</v>
      </c>
      <c r="D18" s="415">
        <v>98142</v>
      </c>
      <c r="E18" s="404">
        <v>101040</v>
      </c>
      <c r="F18" s="404">
        <v>103358</v>
      </c>
      <c r="G18" s="407">
        <v>105676</v>
      </c>
      <c r="H18" s="333"/>
      <c r="L18" s="307"/>
    </row>
    <row r="19" spans="1:12" ht="15" customHeight="1" x14ac:dyDescent="0.25">
      <c r="C19" s="400">
        <v>14</v>
      </c>
      <c r="D19" s="415">
        <v>99185</v>
      </c>
      <c r="E19" s="404">
        <v>102240</v>
      </c>
      <c r="F19" s="404">
        <v>104401</v>
      </c>
      <c r="G19" s="407">
        <v>106720</v>
      </c>
      <c r="H19" s="333"/>
      <c r="L19" s="307"/>
    </row>
    <row r="20" spans="1:12" ht="15" customHeight="1" x14ac:dyDescent="0.25">
      <c r="C20" s="400">
        <v>15</v>
      </c>
      <c r="D20" s="415">
        <v>100228</v>
      </c>
      <c r="E20" s="404">
        <v>103126</v>
      </c>
      <c r="F20" s="404">
        <v>105445</v>
      </c>
      <c r="G20" s="407">
        <v>107763</v>
      </c>
      <c r="H20" s="333"/>
      <c r="L20" s="307"/>
    </row>
    <row r="21" spans="1:12" ht="15" customHeight="1" x14ac:dyDescent="0.25">
      <c r="C21" s="400">
        <v>16</v>
      </c>
      <c r="D21" s="415">
        <v>101272</v>
      </c>
      <c r="E21" s="404">
        <v>104170</v>
      </c>
      <c r="F21" s="404">
        <v>106488</v>
      </c>
      <c r="G21" s="407">
        <v>108806</v>
      </c>
      <c r="H21" s="333"/>
      <c r="L21" s="307"/>
    </row>
    <row r="22" spans="1:12" ht="15" customHeight="1" x14ac:dyDescent="0.25">
      <c r="C22" s="400">
        <v>17</v>
      </c>
      <c r="D22" s="415">
        <v>101272</v>
      </c>
      <c r="E22" s="404">
        <v>104170</v>
      </c>
      <c r="F22" s="404">
        <v>106488</v>
      </c>
      <c r="G22" s="407">
        <v>108806</v>
      </c>
      <c r="H22" s="333"/>
      <c r="L22" s="307"/>
    </row>
    <row r="23" spans="1:12" ht="15" customHeight="1" x14ac:dyDescent="0.25">
      <c r="C23" s="400">
        <v>18</v>
      </c>
      <c r="D23" s="415">
        <v>101272</v>
      </c>
      <c r="E23" s="404">
        <v>104170</v>
      </c>
      <c r="F23" s="404">
        <v>106488</v>
      </c>
      <c r="G23" s="407">
        <v>108806</v>
      </c>
      <c r="H23" s="333"/>
      <c r="L23" s="307"/>
    </row>
    <row r="24" spans="1:12" ht="15" customHeight="1" x14ac:dyDescent="0.25">
      <c r="C24" s="400">
        <v>19</v>
      </c>
      <c r="D24" s="415">
        <v>102315</v>
      </c>
      <c r="E24" s="404">
        <v>105213</v>
      </c>
      <c r="F24" s="404">
        <v>107531</v>
      </c>
      <c r="G24" s="407">
        <v>109850</v>
      </c>
      <c r="H24" s="333"/>
      <c r="L24" s="307"/>
    </row>
    <row r="25" spans="1:12" ht="15" customHeight="1" thickBot="1" x14ac:dyDescent="0.3">
      <c r="C25" s="401">
        <v>20</v>
      </c>
      <c r="D25" s="416">
        <v>102315</v>
      </c>
      <c r="E25" s="408">
        <v>105213</v>
      </c>
      <c r="F25" s="408">
        <v>107531</v>
      </c>
      <c r="G25" s="409">
        <v>109850</v>
      </c>
      <c r="H25" s="333"/>
      <c r="L25" s="307"/>
    </row>
    <row r="26" spans="1:12" ht="15" customHeight="1" x14ac:dyDescent="0.25">
      <c r="A26" s="34"/>
      <c r="B26" s="34"/>
      <c r="C26" s="34"/>
      <c r="D26" s="298"/>
      <c r="E26" s="34"/>
      <c r="G26" s="306"/>
      <c r="H26" s="306"/>
      <c r="I26" s="307"/>
      <c r="J26" s="307"/>
      <c r="K26" s="307"/>
      <c r="L26" s="307"/>
    </row>
    <row r="27" spans="1:12" ht="32.5" customHeight="1" x14ac:dyDescent="0.25">
      <c r="A27" s="34"/>
      <c r="B27" s="34"/>
      <c r="C27" s="530" t="s">
        <v>91</v>
      </c>
      <c r="D27" s="530"/>
      <c r="E27" s="530"/>
      <c r="F27" s="530"/>
      <c r="G27" s="530"/>
      <c r="H27" s="530"/>
      <c r="I27" s="530"/>
      <c r="J27" s="307"/>
      <c r="K27" s="307"/>
      <c r="L27" s="307"/>
    </row>
    <row r="28" spans="1:12" ht="15" customHeight="1" x14ac:dyDescent="0.25">
      <c r="A28" s="34"/>
      <c r="B28" s="34"/>
      <c r="C28" s="34"/>
      <c r="D28" s="298"/>
      <c r="E28" s="34"/>
      <c r="G28" s="306"/>
      <c r="H28" s="306"/>
      <c r="I28" s="307"/>
      <c r="J28" s="307"/>
      <c r="K28" s="307"/>
      <c r="L28" s="307"/>
    </row>
    <row r="29" spans="1:12" ht="15" customHeight="1" x14ac:dyDescent="0.25">
      <c r="A29" s="34"/>
      <c r="B29" s="34"/>
      <c r="C29" s="34"/>
      <c r="D29" s="298"/>
      <c r="E29" s="34"/>
      <c r="G29" s="306"/>
      <c r="H29" s="306"/>
      <c r="I29" s="307"/>
      <c r="J29" s="307"/>
      <c r="K29" s="307"/>
      <c r="L29" s="307"/>
    </row>
    <row r="30" spans="1:12" ht="15" customHeight="1" x14ac:dyDescent="0.25">
      <c r="A30" s="34"/>
      <c r="B30" s="34"/>
      <c r="C30" s="34"/>
      <c r="D30" s="298"/>
      <c r="E30" s="34"/>
    </row>
    <row r="31" spans="1:12" ht="15" customHeight="1" x14ac:dyDescent="0.25">
      <c r="A31" s="18"/>
      <c r="B31" s="18"/>
      <c r="D31" s="122"/>
      <c r="E31" s="18"/>
    </row>
    <row r="35" spans="1:5" ht="15" customHeight="1" x14ac:dyDescent="0.25">
      <c r="A35" s="531"/>
      <c r="B35" s="531"/>
      <c r="C35" s="531"/>
      <c r="D35" s="531"/>
      <c r="E35" s="531"/>
    </row>
  </sheetData>
  <mergeCells count="2">
    <mergeCell ref="A35:E35"/>
    <mergeCell ref="C27:I27"/>
  </mergeCells>
  <phoneticPr fontId="5" type="noConversion"/>
  <printOptions horizontalCentered="1"/>
  <pageMargins left="0.7" right="0.7" top="0.75" bottom="0.75" header="0.3" footer="0.3"/>
  <pageSetup orientation="landscape" r:id="rId1"/>
  <headerFooter alignWithMargins="0">
    <oddFooter>&amp;L&amp;"Arial,Bold"&amp;F&amp;C&amp;"Arial,Bold"&amp;D &amp;R&amp;"Arial,Bold"Appendix C-12</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B1:H38"/>
  <sheetViews>
    <sheetView showGridLines="0" view="pageLayout" zoomScaleNormal="120" workbookViewId="0">
      <selection activeCell="K17" sqref="K17"/>
    </sheetView>
  </sheetViews>
  <sheetFormatPr defaultColWidth="12.7265625" defaultRowHeight="15" customHeight="1" x14ac:dyDescent="0.25"/>
  <cols>
    <col min="1" max="1" width="3.7265625" style="15" customWidth="1"/>
    <col min="2" max="2" width="7.453125" style="15" customWidth="1"/>
    <col min="3" max="7" width="12.453125" style="15" customWidth="1"/>
    <col min="8" max="16384" width="12.7265625" style="15"/>
  </cols>
  <sheetData>
    <row r="1" spans="2:8" ht="15" customHeight="1" thickBot="1" x14ac:dyDescent="0.35">
      <c r="B1" s="3"/>
      <c r="C1" s="3"/>
      <c r="D1" s="122"/>
      <c r="E1" s="3"/>
    </row>
    <row r="2" spans="2:8" s="6" customFormat="1" ht="20.149999999999999" customHeight="1" thickBot="1" x14ac:dyDescent="0.4">
      <c r="B2" s="113" t="s">
        <v>225</v>
      </c>
      <c r="C2" s="114"/>
      <c r="D2" s="114"/>
      <c r="E2" s="114"/>
      <c r="F2" s="114"/>
      <c r="G2" s="114"/>
      <c r="H2" s="270" t="str">
        <f>ACCUM!A3</f>
        <v>FY'23</v>
      </c>
    </row>
    <row r="3" spans="2:8" ht="15" customHeight="1" thickBot="1" x14ac:dyDescent="0.35">
      <c r="B3" s="3"/>
      <c r="C3" s="3"/>
      <c r="D3" s="122"/>
      <c r="E3" s="3"/>
    </row>
    <row r="4" spans="2:8" ht="15" customHeight="1" thickBot="1" x14ac:dyDescent="0.3">
      <c r="C4" s="339" t="s">
        <v>82</v>
      </c>
      <c r="D4" s="413" t="s">
        <v>69</v>
      </c>
      <c r="E4" s="421" t="s">
        <v>72</v>
      </c>
      <c r="F4" s="403" t="s">
        <v>247</v>
      </c>
      <c r="G4" s="402" t="s">
        <v>248</v>
      </c>
    </row>
    <row r="5" spans="2:8" ht="15" customHeight="1" x14ac:dyDescent="0.25">
      <c r="C5" s="400">
        <v>0</v>
      </c>
      <c r="D5" s="422">
        <v>98666</v>
      </c>
      <c r="E5" s="405">
        <v>101563</v>
      </c>
      <c r="F5" s="405">
        <v>103882</v>
      </c>
      <c r="G5" s="406">
        <v>106201</v>
      </c>
    </row>
    <row r="6" spans="2:8" ht="15" customHeight="1" x14ac:dyDescent="0.25">
      <c r="C6" s="400">
        <v>1</v>
      </c>
      <c r="D6" s="415">
        <v>99709</v>
      </c>
      <c r="E6" s="404">
        <v>102607</v>
      </c>
      <c r="F6" s="404">
        <v>104926</v>
      </c>
      <c r="G6" s="407">
        <v>107244</v>
      </c>
    </row>
    <row r="7" spans="2:8" ht="15" customHeight="1" x14ac:dyDescent="0.25">
      <c r="C7" s="400">
        <v>2</v>
      </c>
      <c r="D7" s="415">
        <v>100752</v>
      </c>
      <c r="E7" s="404">
        <v>103651</v>
      </c>
      <c r="F7" s="404">
        <v>105969</v>
      </c>
      <c r="G7" s="407">
        <v>108287</v>
      </c>
    </row>
    <row r="8" spans="2:8" ht="15" customHeight="1" x14ac:dyDescent="0.25">
      <c r="C8" s="400">
        <v>3</v>
      </c>
      <c r="D8" s="415">
        <v>101795</v>
      </c>
      <c r="E8" s="404">
        <v>104694</v>
      </c>
      <c r="F8" s="404">
        <v>107012</v>
      </c>
      <c r="G8" s="407">
        <v>109330</v>
      </c>
    </row>
    <row r="9" spans="2:8" ht="15" customHeight="1" x14ac:dyDescent="0.25">
      <c r="C9" s="400">
        <v>4</v>
      </c>
      <c r="D9" s="415">
        <v>102838</v>
      </c>
      <c r="E9" s="404">
        <v>105737</v>
      </c>
      <c r="F9" s="404">
        <v>108055</v>
      </c>
      <c r="G9" s="407">
        <v>110373</v>
      </c>
    </row>
    <row r="10" spans="2:8" ht="15" customHeight="1" x14ac:dyDescent="0.25">
      <c r="C10" s="400">
        <v>5</v>
      </c>
      <c r="D10" s="415">
        <v>103882</v>
      </c>
      <c r="E10" s="404">
        <v>106780</v>
      </c>
      <c r="F10" s="404">
        <v>109098</v>
      </c>
      <c r="G10" s="407">
        <v>111417</v>
      </c>
    </row>
    <row r="11" spans="2:8" ht="15" customHeight="1" x14ac:dyDescent="0.25">
      <c r="C11" s="400">
        <v>6</v>
      </c>
      <c r="D11" s="415">
        <v>104926</v>
      </c>
      <c r="E11" s="404">
        <v>107823</v>
      </c>
      <c r="F11" s="404">
        <v>110142</v>
      </c>
      <c r="G11" s="407">
        <v>112460</v>
      </c>
    </row>
    <row r="12" spans="2:8" ht="15" customHeight="1" x14ac:dyDescent="0.25">
      <c r="C12" s="400">
        <v>7</v>
      </c>
      <c r="D12" s="415">
        <v>105969</v>
      </c>
      <c r="E12" s="404">
        <v>108866</v>
      </c>
      <c r="F12" s="404">
        <v>111185</v>
      </c>
      <c r="G12" s="407">
        <v>113504</v>
      </c>
    </row>
    <row r="13" spans="2:8" ht="15" customHeight="1" x14ac:dyDescent="0.25">
      <c r="C13" s="427">
        <v>8</v>
      </c>
      <c r="D13" s="415">
        <v>107012</v>
      </c>
      <c r="E13" s="404">
        <v>109910</v>
      </c>
      <c r="F13" s="404">
        <v>112228</v>
      </c>
      <c r="G13" s="407">
        <v>114547</v>
      </c>
    </row>
    <row r="14" spans="2:8" ht="15" customHeight="1" x14ac:dyDescent="0.25">
      <c r="C14" s="400">
        <v>9</v>
      </c>
      <c r="D14" s="415">
        <v>108055</v>
      </c>
      <c r="E14" s="404">
        <v>110953</v>
      </c>
      <c r="F14" s="404">
        <v>113272</v>
      </c>
      <c r="G14" s="407">
        <v>115590</v>
      </c>
    </row>
    <row r="15" spans="2:8" ht="15" customHeight="1" x14ac:dyDescent="0.25">
      <c r="C15" s="400">
        <v>10</v>
      </c>
      <c r="D15" s="415">
        <v>109098</v>
      </c>
      <c r="E15" s="404">
        <v>111997</v>
      </c>
      <c r="F15" s="404">
        <v>114315</v>
      </c>
      <c r="G15" s="407">
        <v>116633</v>
      </c>
    </row>
    <row r="16" spans="2:8" ht="15" customHeight="1" x14ac:dyDescent="0.25">
      <c r="C16" s="400">
        <v>11</v>
      </c>
      <c r="D16" s="415">
        <v>110142</v>
      </c>
      <c r="E16" s="404">
        <v>113040</v>
      </c>
      <c r="F16" s="404">
        <v>115358</v>
      </c>
      <c r="G16" s="407">
        <v>117676</v>
      </c>
    </row>
    <row r="17" spans="2:8" ht="15" customHeight="1" x14ac:dyDescent="0.25">
      <c r="C17" s="400">
        <v>12</v>
      </c>
      <c r="D17" s="415">
        <v>111185</v>
      </c>
      <c r="E17" s="404">
        <v>114083</v>
      </c>
      <c r="F17" s="404">
        <v>116401</v>
      </c>
      <c r="G17" s="407">
        <v>118720</v>
      </c>
    </row>
    <row r="18" spans="2:8" ht="15" customHeight="1" x14ac:dyDescent="0.25">
      <c r="C18" s="400">
        <v>13</v>
      </c>
      <c r="D18" s="415">
        <v>112228</v>
      </c>
      <c r="E18" s="404">
        <v>115126</v>
      </c>
      <c r="F18" s="404">
        <v>117445</v>
      </c>
      <c r="G18" s="407">
        <v>119763</v>
      </c>
    </row>
    <row r="19" spans="2:8" s="19" customFormat="1" ht="15" customHeight="1" x14ac:dyDescent="0.25">
      <c r="C19" s="424">
        <v>14</v>
      </c>
      <c r="D19" s="415">
        <v>113272</v>
      </c>
      <c r="E19" s="404">
        <v>116327</v>
      </c>
      <c r="F19" s="404">
        <v>118488</v>
      </c>
      <c r="G19" s="407">
        <v>120806</v>
      </c>
    </row>
    <row r="20" spans="2:8" s="19" customFormat="1" ht="15" customHeight="1" x14ac:dyDescent="0.25">
      <c r="C20" s="424">
        <v>15</v>
      </c>
      <c r="D20" s="415">
        <v>114315</v>
      </c>
      <c r="E20" s="404">
        <v>117213</v>
      </c>
      <c r="F20" s="404">
        <v>119531</v>
      </c>
      <c r="G20" s="407">
        <v>121850</v>
      </c>
    </row>
    <row r="21" spans="2:8" s="19" customFormat="1" ht="15" customHeight="1" x14ac:dyDescent="0.25">
      <c r="C21" s="424">
        <v>16</v>
      </c>
      <c r="D21" s="415">
        <v>115358</v>
      </c>
      <c r="E21" s="404">
        <v>118256</v>
      </c>
      <c r="F21" s="404">
        <v>120574</v>
      </c>
      <c r="G21" s="407">
        <v>122893</v>
      </c>
    </row>
    <row r="22" spans="2:8" s="19" customFormat="1" ht="15" customHeight="1" x14ac:dyDescent="0.25">
      <c r="C22" s="424">
        <v>17</v>
      </c>
      <c r="D22" s="415">
        <v>115358</v>
      </c>
      <c r="E22" s="404">
        <v>118256</v>
      </c>
      <c r="F22" s="404">
        <v>120574</v>
      </c>
      <c r="G22" s="407">
        <v>122893</v>
      </c>
    </row>
    <row r="23" spans="2:8" s="19" customFormat="1" ht="15" customHeight="1" x14ac:dyDescent="0.25">
      <c r="C23" s="424">
        <v>18</v>
      </c>
      <c r="D23" s="415">
        <v>115358</v>
      </c>
      <c r="E23" s="404">
        <v>118256</v>
      </c>
      <c r="F23" s="404">
        <v>120574</v>
      </c>
      <c r="G23" s="407">
        <v>122893</v>
      </c>
    </row>
    <row r="24" spans="2:8" s="19" customFormat="1" ht="15" customHeight="1" x14ac:dyDescent="0.25">
      <c r="C24" s="424">
        <v>19</v>
      </c>
      <c r="D24" s="415">
        <v>116401</v>
      </c>
      <c r="E24" s="404">
        <v>119299</v>
      </c>
      <c r="F24" s="404">
        <v>121618</v>
      </c>
      <c r="G24" s="407">
        <v>123936</v>
      </c>
    </row>
    <row r="25" spans="2:8" s="19" customFormat="1" ht="15" customHeight="1" thickBot="1" x14ac:dyDescent="0.3">
      <c r="C25" s="425">
        <v>20</v>
      </c>
      <c r="D25" s="416">
        <v>116401</v>
      </c>
      <c r="E25" s="408">
        <v>119299</v>
      </c>
      <c r="F25" s="408">
        <v>121618</v>
      </c>
      <c r="G25" s="409">
        <v>123936</v>
      </c>
    </row>
    <row r="26" spans="2:8" s="19" customFormat="1" ht="15" customHeight="1" x14ac:dyDescent="0.25">
      <c r="B26" s="20"/>
      <c r="C26" s="20"/>
      <c r="D26" s="25"/>
      <c r="E26" s="20"/>
    </row>
    <row r="27" spans="2:8" s="19" customFormat="1" ht="15" customHeight="1" x14ac:dyDescent="0.25">
      <c r="C27" s="530" t="s">
        <v>91</v>
      </c>
      <c r="D27" s="530"/>
      <c r="E27" s="530"/>
      <c r="F27" s="530"/>
      <c r="G27" s="530"/>
      <c r="H27" s="530"/>
    </row>
    <row r="28" spans="2:8" s="19" customFormat="1" ht="15" customHeight="1" x14ac:dyDescent="0.25">
      <c r="B28" s="20"/>
      <c r="C28" s="530"/>
      <c r="D28" s="530"/>
      <c r="E28" s="530"/>
      <c r="F28" s="530"/>
      <c r="G28" s="530"/>
      <c r="H28" s="530"/>
    </row>
    <row r="29" spans="2:8" s="19" customFormat="1" ht="15" customHeight="1" x14ac:dyDescent="0.25">
      <c r="B29" s="20"/>
      <c r="C29" s="20"/>
      <c r="D29" s="25"/>
      <c r="E29" s="20"/>
    </row>
    <row r="30" spans="2:8" s="19" customFormat="1" ht="15" customHeight="1" x14ac:dyDescent="0.25">
      <c r="B30" s="20"/>
      <c r="C30" s="20"/>
      <c r="D30" s="25"/>
      <c r="E30" s="20"/>
    </row>
    <row r="31" spans="2:8" s="19" customFormat="1" ht="15" customHeight="1" x14ac:dyDescent="0.25">
      <c r="B31" s="40"/>
      <c r="C31" s="40"/>
      <c r="D31" s="40"/>
      <c r="E31" s="40"/>
    </row>
    <row r="32" spans="2:8" s="19" customFormat="1" ht="15" customHeight="1" x14ac:dyDescent="0.25">
      <c r="B32" s="20"/>
      <c r="D32" s="25"/>
      <c r="E32" s="20"/>
    </row>
    <row r="33" s="19" customFormat="1" ht="15" customHeight="1" x14ac:dyDescent="0.25"/>
    <row r="34" s="19" customFormat="1" ht="15" customHeight="1" x14ac:dyDescent="0.25"/>
    <row r="35" s="19" customFormat="1" ht="15" customHeight="1" x14ac:dyDescent="0.25"/>
    <row r="36" s="19" customFormat="1" ht="15" customHeight="1" x14ac:dyDescent="0.25"/>
    <row r="37" s="19" customFormat="1" ht="15" customHeight="1" x14ac:dyDescent="0.25"/>
    <row r="38" s="19" customFormat="1" ht="15" customHeight="1" x14ac:dyDescent="0.25"/>
  </sheetData>
  <mergeCells count="1">
    <mergeCell ref="C27:H28"/>
  </mergeCells>
  <phoneticPr fontId="5" type="noConversion"/>
  <printOptions horizontalCentered="1"/>
  <pageMargins left="0.7" right="0.7" top="0.75" bottom="0.75" header="0.3" footer="0.3"/>
  <pageSetup orientation="landscape" r:id="rId1"/>
  <headerFooter alignWithMargins="0">
    <oddFooter>&amp;L&amp;"Arial,Bold"&amp;F&amp;C&amp;"Arial,Bold"&amp;D &amp;R&amp;"Arial,Bold"Appendix C-13</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B1:I27"/>
  <sheetViews>
    <sheetView showGridLines="0" view="pageLayout" zoomScaleNormal="120" workbookViewId="0">
      <selection activeCell="D5" sqref="D5:G25"/>
    </sheetView>
  </sheetViews>
  <sheetFormatPr defaultColWidth="12.7265625" defaultRowHeight="15" customHeight="1" x14ac:dyDescent="0.25"/>
  <cols>
    <col min="1" max="1" width="3.7265625" customWidth="1"/>
    <col min="2" max="2" width="8.453125" customWidth="1"/>
    <col min="3" max="7" width="12.453125" customWidth="1"/>
    <col min="8" max="8" width="12.26953125" customWidth="1"/>
    <col min="9" max="9" width="7.81640625" customWidth="1"/>
  </cols>
  <sheetData>
    <row r="1" spans="2:9" ht="15" customHeight="1" thickBot="1" x14ac:dyDescent="0.35">
      <c r="B1" s="3"/>
      <c r="C1" s="3"/>
      <c r="D1" s="3"/>
      <c r="E1" s="5"/>
      <c r="F1" s="3"/>
    </row>
    <row r="2" spans="2:9" s="6" customFormat="1" ht="20.149999999999999" customHeight="1" thickBot="1" x14ac:dyDescent="0.4">
      <c r="B2" s="113" t="s">
        <v>277</v>
      </c>
      <c r="C2" s="114"/>
      <c r="D2" s="114"/>
      <c r="E2" s="114"/>
      <c r="F2" s="114"/>
      <c r="G2" s="114"/>
      <c r="H2" s="114"/>
      <c r="I2" s="270" t="str">
        <f>ACCUM!A3</f>
        <v>FY'23</v>
      </c>
    </row>
    <row r="3" spans="2:9" ht="15" customHeight="1" thickBot="1" x14ac:dyDescent="0.35">
      <c r="B3" s="3"/>
      <c r="C3" s="3"/>
      <c r="D3" s="3"/>
      <c r="E3" s="5"/>
      <c r="F3" s="3"/>
    </row>
    <row r="4" spans="2:9" ht="15" customHeight="1" thickBot="1" x14ac:dyDescent="0.35">
      <c r="C4" s="339" t="s">
        <v>82</v>
      </c>
      <c r="D4" s="413" t="s">
        <v>69</v>
      </c>
      <c r="E4" s="402" t="s">
        <v>72</v>
      </c>
      <c r="F4" s="403" t="s">
        <v>247</v>
      </c>
      <c r="G4" s="402" t="s">
        <v>248</v>
      </c>
      <c r="H4" s="21"/>
    </row>
    <row r="5" spans="2:9" ht="15" customHeight="1" x14ac:dyDescent="0.25">
      <c r="C5" s="428">
        <v>0</v>
      </c>
      <c r="D5" s="422">
        <v>92304</v>
      </c>
      <c r="E5" s="405">
        <v>95202</v>
      </c>
      <c r="F5" s="405">
        <v>97521</v>
      </c>
      <c r="G5" s="406">
        <v>99839</v>
      </c>
      <c r="H5" s="333"/>
    </row>
    <row r="6" spans="2:9" ht="15" customHeight="1" x14ac:dyDescent="0.25">
      <c r="C6" s="428">
        <v>1</v>
      </c>
      <c r="D6" s="415">
        <v>93347</v>
      </c>
      <c r="E6" s="404">
        <v>96246</v>
      </c>
      <c r="F6" s="404">
        <v>98564</v>
      </c>
      <c r="G6" s="407">
        <v>100882</v>
      </c>
      <c r="H6" s="333"/>
    </row>
    <row r="7" spans="2:9" ht="15" customHeight="1" x14ac:dyDescent="0.25">
      <c r="C7" s="428">
        <v>2</v>
      </c>
      <c r="D7" s="415">
        <v>94390</v>
      </c>
      <c r="E7" s="404">
        <v>97289</v>
      </c>
      <c r="F7" s="404">
        <v>99607</v>
      </c>
      <c r="G7" s="407">
        <v>101925</v>
      </c>
      <c r="H7" s="333"/>
    </row>
    <row r="8" spans="2:9" ht="15" customHeight="1" x14ac:dyDescent="0.25">
      <c r="C8" s="428">
        <v>3</v>
      </c>
      <c r="D8" s="415">
        <v>95434</v>
      </c>
      <c r="E8" s="404">
        <v>98332</v>
      </c>
      <c r="F8" s="404">
        <v>100650</v>
      </c>
      <c r="G8" s="407">
        <v>102968</v>
      </c>
      <c r="H8" s="333"/>
    </row>
    <row r="9" spans="2:9" ht="15" customHeight="1" x14ac:dyDescent="0.25">
      <c r="C9" s="428">
        <v>4</v>
      </c>
      <c r="D9" s="415">
        <v>96478</v>
      </c>
      <c r="E9" s="404">
        <v>99375</v>
      </c>
      <c r="F9" s="404">
        <v>101693</v>
      </c>
      <c r="G9" s="407">
        <v>104011</v>
      </c>
      <c r="H9" s="333"/>
    </row>
    <row r="10" spans="2:9" ht="15" customHeight="1" x14ac:dyDescent="0.25">
      <c r="C10" s="428">
        <v>5</v>
      </c>
      <c r="D10" s="415">
        <v>97521</v>
      </c>
      <c r="E10" s="404">
        <v>100418</v>
      </c>
      <c r="F10" s="404">
        <v>102736</v>
      </c>
      <c r="G10" s="407">
        <v>105056</v>
      </c>
      <c r="H10" s="333"/>
    </row>
    <row r="11" spans="2:9" ht="15" customHeight="1" x14ac:dyDescent="0.25">
      <c r="C11" s="428">
        <v>6</v>
      </c>
      <c r="D11" s="415">
        <v>98564</v>
      </c>
      <c r="E11" s="404">
        <v>101461</v>
      </c>
      <c r="F11" s="404">
        <v>103781</v>
      </c>
      <c r="G11" s="407">
        <v>106099</v>
      </c>
      <c r="H11" s="333"/>
    </row>
    <row r="12" spans="2:9" ht="15" customHeight="1" x14ac:dyDescent="0.25">
      <c r="C12" s="428">
        <v>7</v>
      </c>
      <c r="D12" s="415">
        <v>99607</v>
      </c>
      <c r="E12" s="404">
        <v>102504</v>
      </c>
      <c r="F12" s="404">
        <v>104824</v>
      </c>
      <c r="G12" s="407">
        <v>107142</v>
      </c>
      <c r="H12" s="333"/>
    </row>
    <row r="13" spans="2:9" ht="15" customHeight="1" x14ac:dyDescent="0.25">
      <c r="C13" s="428">
        <v>8</v>
      </c>
      <c r="D13" s="415">
        <v>100650</v>
      </c>
      <c r="E13" s="404">
        <v>103549</v>
      </c>
      <c r="F13" s="404">
        <v>105867</v>
      </c>
      <c r="G13" s="407">
        <v>108185</v>
      </c>
      <c r="H13" s="333"/>
    </row>
    <row r="14" spans="2:9" ht="15" customHeight="1" x14ac:dyDescent="0.25">
      <c r="C14" s="428">
        <v>9</v>
      </c>
      <c r="D14" s="415">
        <v>101693</v>
      </c>
      <c r="E14" s="404">
        <v>104592</v>
      </c>
      <c r="F14" s="404">
        <v>106910</v>
      </c>
      <c r="G14" s="407">
        <v>109228</v>
      </c>
      <c r="H14" s="333"/>
    </row>
    <row r="15" spans="2:9" ht="15" customHeight="1" x14ac:dyDescent="0.25">
      <c r="C15" s="428">
        <v>10</v>
      </c>
      <c r="D15" s="415">
        <v>102736</v>
      </c>
      <c r="E15" s="404">
        <v>105635</v>
      </c>
      <c r="F15" s="404">
        <v>107953</v>
      </c>
      <c r="G15" s="407">
        <v>110271</v>
      </c>
      <c r="H15" s="333"/>
    </row>
    <row r="16" spans="2:9" ht="15" customHeight="1" x14ac:dyDescent="0.25">
      <c r="C16" s="428">
        <v>11</v>
      </c>
      <c r="D16" s="415">
        <v>103781</v>
      </c>
      <c r="E16" s="404">
        <v>106678</v>
      </c>
      <c r="F16" s="404">
        <v>108996</v>
      </c>
      <c r="G16" s="407">
        <v>111315</v>
      </c>
      <c r="H16" s="333"/>
    </row>
    <row r="17" spans="3:9" ht="15" customHeight="1" x14ac:dyDescent="0.25">
      <c r="C17" s="428">
        <v>12</v>
      </c>
      <c r="D17" s="415">
        <v>104824</v>
      </c>
      <c r="E17" s="404">
        <v>107721</v>
      </c>
      <c r="F17" s="404">
        <v>110039</v>
      </c>
      <c r="G17" s="407">
        <v>112358</v>
      </c>
      <c r="H17" s="333"/>
    </row>
    <row r="18" spans="3:9" ht="15" customHeight="1" x14ac:dyDescent="0.25">
      <c r="C18" s="428">
        <v>13</v>
      </c>
      <c r="D18" s="415">
        <v>105867</v>
      </c>
      <c r="E18" s="404">
        <v>108764</v>
      </c>
      <c r="F18" s="404">
        <v>111083</v>
      </c>
      <c r="G18" s="407">
        <v>113402</v>
      </c>
      <c r="H18" s="333"/>
    </row>
    <row r="19" spans="3:9" ht="15" customHeight="1" x14ac:dyDescent="0.25">
      <c r="C19" s="428">
        <v>14</v>
      </c>
      <c r="D19" s="415">
        <v>106910</v>
      </c>
      <c r="E19" s="404">
        <v>109965</v>
      </c>
      <c r="F19" s="404">
        <v>112127</v>
      </c>
      <c r="G19" s="407">
        <v>114445</v>
      </c>
      <c r="H19" s="333"/>
    </row>
    <row r="20" spans="3:9" ht="15" customHeight="1" x14ac:dyDescent="0.25">
      <c r="C20" s="428">
        <v>15</v>
      </c>
      <c r="D20" s="415">
        <v>107953</v>
      </c>
      <c r="E20" s="404">
        <v>110852</v>
      </c>
      <c r="F20" s="404">
        <v>113170</v>
      </c>
      <c r="G20" s="407">
        <v>115488</v>
      </c>
      <c r="H20" s="333"/>
    </row>
    <row r="21" spans="3:9" ht="15" customHeight="1" x14ac:dyDescent="0.25">
      <c r="C21" s="428">
        <v>16</v>
      </c>
      <c r="D21" s="415">
        <v>108996</v>
      </c>
      <c r="E21" s="404">
        <v>111895</v>
      </c>
      <c r="F21" s="404">
        <v>114213</v>
      </c>
      <c r="G21" s="407">
        <v>116531</v>
      </c>
      <c r="H21" s="333"/>
    </row>
    <row r="22" spans="3:9" ht="15" customHeight="1" x14ac:dyDescent="0.25">
      <c r="C22" s="428">
        <v>17</v>
      </c>
      <c r="D22" s="415">
        <v>108996</v>
      </c>
      <c r="E22" s="404">
        <v>111895</v>
      </c>
      <c r="F22" s="404">
        <v>114213</v>
      </c>
      <c r="G22" s="407">
        <v>116531</v>
      </c>
      <c r="H22" s="333"/>
    </row>
    <row r="23" spans="3:9" ht="15" customHeight="1" x14ac:dyDescent="0.25">
      <c r="C23" s="428">
        <v>18</v>
      </c>
      <c r="D23" s="415">
        <v>108996</v>
      </c>
      <c r="E23" s="404">
        <v>111895</v>
      </c>
      <c r="F23" s="404">
        <v>114213</v>
      </c>
      <c r="G23" s="407">
        <v>116531</v>
      </c>
      <c r="H23" s="333"/>
    </row>
    <row r="24" spans="3:9" ht="15" customHeight="1" x14ac:dyDescent="0.25">
      <c r="C24" s="428">
        <v>19</v>
      </c>
      <c r="D24" s="415">
        <v>110039</v>
      </c>
      <c r="E24" s="404">
        <v>112938</v>
      </c>
      <c r="F24" s="404">
        <v>115256</v>
      </c>
      <c r="G24" s="407">
        <v>117574</v>
      </c>
      <c r="H24" s="333"/>
    </row>
    <row r="25" spans="3:9" ht="15" customHeight="1" thickBot="1" x14ac:dyDescent="0.3">
      <c r="C25" s="429">
        <v>20</v>
      </c>
      <c r="D25" s="416">
        <v>110039</v>
      </c>
      <c r="E25" s="408">
        <v>112938</v>
      </c>
      <c r="F25" s="408">
        <v>115256</v>
      </c>
      <c r="G25" s="409">
        <v>117574</v>
      </c>
      <c r="H25" s="333"/>
    </row>
    <row r="27" spans="3:9" ht="29.5" customHeight="1" x14ac:dyDescent="0.25">
      <c r="C27" s="530" t="s">
        <v>91</v>
      </c>
      <c r="D27" s="530"/>
      <c r="E27" s="530"/>
      <c r="F27" s="530"/>
      <c r="G27" s="530"/>
      <c r="H27" s="530"/>
      <c r="I27" s="530"/>
    </row>
  </sheetData>
  <mergeCells count="1">
    <mergeCell ref="C27:I27"/>
  </mergeCells>
  <phoneticPr fontId="5" type="noConversion"/>
  <printOptions horizontalCentered="1"/>
  <pageMargins left="0.5" right="0.5" top="0.75" bottom="0.5" header="0.3" footer="0.3"/>
  <pageSetup orientation="landscape" r:id="rId1"/>
  <headerFooter alignWithMargins="0">
    <oddFooter>&amp;L&amp;"Arial,Bold"&amp;F&amp;C&amp;"Arial,Bold"&amp;D &amp;R&amp;"Arial,Bold"Appendix C-14</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H27"/>
  <sheetViews>
    <sheetView showGridLines="0" view="pageLayout" zoomScaleNormal="120" workbookViewId="0">
      <selection activeCell="G17" sqref="G17"/>
    </sheetView>
  </sheetViews>
  <sheetFormatPr defaultColWidth="12.7265625" defaultRowHeight="15" customHeight="1" x14ac:dyDescent="0.25"/>
  <cols>
    <col min="1" max="1" width="3.7265625" style="15" customWidth="1"/>
    <col min="2" max="2" width="6.7265625" style="15" customWidth="1"/>
    <col min="3" max="3" width="12" style="15" customWidth="1"/>
    <col min="4" max="4" width="14.7265625" style="15" customWidth="1"/>
    <col min="5" max="5" width="12.7265625" style="15"/>
    <col min="6" max="6" width="14.26953125" style="15" customWidth="1"/>
    <col min="7" max="7" width="13" style="15" customWidth="1"/>
    <col min="8" max="16384" width="12.7265625" style="15"/>
  </cols>
  <sheetData>
    <row r="1" spans="2:8" ht="15" customHeight="1" thickBot="1" x14ac:dyDescent="0.35">
      <c r="B1" s="3"/>
      <c r="C1" s="3"/>
      <c r="D1" s="3"/>
      <c r="E1" s="122"/>
      <c r="F1" s="3"/>
    </row>
    <row r="2" spans="2:8" s="6" customFormat="1" ht="20.149999999999999" customHeight="1" thickBot="1" x14ac:dyDescent="0.4">
      <c r="B2" s="113" t="s">
        <v>226</v>
      </c>
      <c r="C2" s="114"/>
      <c r="D2" s="114"/>
      <c r="E2" s="114"/>
      <c r="F2" s="114"/>
      <c r="G2" s="114"/>
      <c r="H2" s="270" t="str">
        <f>ACCUM!A3</f>
        <v>FY'23</v>
      </c>
    </row>
    <row r="3" spans="2:8" ht="15" customHeight="1" thickBot="1" x14ac:dyDescent="0.35">
      <c r="B3" s="3"/>
      <c r="C3" s="3"/>
      <c r="D3" s="3"/>
      <c r="E3" s="122"/>
      <c r="F3" s="3"/>
    </row>
    <row r="4" spans="2:8" ht="15" customHeight="1" thickBot="1" x14ac:dyDescent="0.3">
      <c r="C4" s="339" t="s">
        <v>82</v>
      </c>
      <c r="D4" s="413" t="s">
        <v>69</v>
      </c>
      <c r="E4" s="402" t="s">
        <v>72</v>
      </c>
      <c r="F4" s="403" t="s">
        <v>247</v>
      </c>
      <c r="G4" s="402" t="s">
        <v>248</v>
      </c>
    </row>
    <row r="5" spans="2:8" ht="15" customHeight="1" x14ac:dyDescent="0.25">
      <c r="C5" s="428">
        <v>0</v>
      </c>
      <c r="D5" s="422">
        <v>105028</v>
      </c>
      <c r="E5" s="405">
        <v>107925</v>
      </c>
      <c r="F5" s="405">
        <v>110244</v>
      </c>
      <c r="G5" s="406">
        <v>112562</v>
      </c>
    </row>
    <row r="6" spans="2:8" ht="15" customHeight="1" x14ac:dyDescent="0.25">
      <c r="C6" s="428">
        <v>1</v>
      </c>
      <c r="D6" s="415">
        <v>106071</v>
      </c>
      <c r="E6" s="404">
        <v>108969</v>
      </c>
      <c r="F6" s="404">
        <v>111287</v>
      </c>
      <c r="G6" s="407">
        <v>113605</v>
      </c>
    </row>
    <row r="7" spans="2:8" ht="15" customHeight="1" x14ac:dyDescent="0.25">
      <c r="C7" s="428">
        <v>2</v>
      </c>
      <c r="D7" s="415">
        <v>107114</v>
      </c>
      <c r="E7" s="404">
        <v>110012</v>
      </c>
      <c r="F7" s="404">
        <v>112330</v>
      </c>
      <c r="G7" s="407">
        <v>114649</v>
      </c>
    </row>
    <row r="8" spans="2:8" ht="15" customHeight="1" x14ac:dyDescent="0.25">
      <c r="C8" s="428">
        <v>3</v>
      </c>
      <c r="D8" s="415">
        <v>108157</v>
      </c>
      <c r="E8" s="404">
        <v>111055</v>
      </c>
      <c r="F8" s="404">
        <v>113374</v>
      </c>
      <c r="G8" s="407">
        <v>115692</v>
      </c>
    </row>
    <row r="9" spans="2:8" ht="15" customHeight="1" x14ac:dyDescent="0.25">
      <c r="C9" s="428">
        <v>4</v>
      </c>
      <c r="D9" s="415">
        <v>109200</v>
      </c>
      <c r="E9" s="404">
        <v>112098</v>
      </c>
      <c r="F9" s="404">
        <v>114417</v>
      </c>
      <c r="G9" s="407">
        <v>116735</v>
      </c>
    </row>
    <row r="10" spans="2:8" ht="15" customHeight="1" x14ac:dyDescent="0.25">
      <c r="C10" s="428">
        <v>5</v>
      </c>
      <c r="D10" s="415">
        <v>110244</v>
      </c>
      <c r="E10" s="404">
        <v>113142</v>
      </c>
      <c r="F10" s="404">
        <v>115460</v>
      </c>
      <c r="G10" s="407">
        <v>117779</v>
      </c>
    </row>
    <row r="11" spans="2:8" ht="15" customHeight="1" x14ac:dyDescent="0.25">
      <c r="C11" s="428">
        <v>6</v>
      </c>
      <c r="D11" s="415">
        <v>111287</v>
      </c>
      <c r="E11" s="404">
        <v>114185</v>
      </c>
      <c r="F11" s="404">
        <v>116503</v>
      </c>
      <c r="G11" s="407">
        <v>118822</v>
      </c>
    </row>
    <row r="12" spans="2:8" ht="15" customHeight="1" x14ac:dyDescent="0.25">
      <c r="C12" s="428">
        <v>7</v>
      </c>
      <c r="D12" s="415">
        <v>112330</v>
      </c>
      <c r="E12" s="404">
        <v>115228</v>
      </c>
      <c r="F12" s="404">
        <v>117547</v>
      </c>
      <c r="G12" s="407">
        <v>119865</v>
      </c>
    </row>
    <row r="13" spans="2:8" ht="15" customHeight="1" x14ac:dyDescent="0.25">
      <c r="C13" s="428">
        <v>8</v>
      </c>
      <c r="D13" s="415">
        <v>113374</v>
      </c>
      <c r="E13" s="404">
        <v>116272</v>
      </c>
      <c r="F13" s="404">
        <v>118590</v>
      </c>
      <c r="G13" s="407">
        <v>120908</v>
      </c>
    </row>
    <row r="14" spans="2:8" ht="15" customHeight="1" x14ac:dyDescent="0.25">
      <c r="C14" s="428">
        <v>9</v>
      </c>
      <c r="D14" s="415">
        <v>114417</v>
      </c>
      <c r="E14" s="404">
        <v>117315</v>
      </c>
      <c r="F14" s="404">
        <v>119633</v>
      </c>
      <c r="G14" s="407">
        <v>121951</v>
      </c>
    </row>
    <row r="15" spans="2:8" ht="15" customHeight="1" x14ac:dyDescent="0.25">
      <c r="C15" s="428">
        <v>10</v>
      </c>
      <c r="D15" s="415">
        <v>115460</v>
      </c>
      <c r="E15" s="404">
        <v>118358</v>
      </c>
      <c r="F15" s="404">
        <v>120676</v>
      </c>
      <c r="G15" s="407">
        <v>122995</v>
      </c>
    </row>
    <row r="16" spans="2:8" ht="15" customHeight="1" x14ac:dyDescent="0.25">
      <c r="C16" s="428">
        <v>11</v>
      </c>
      <c r="D16" s="415">
        <v>116503</v>
      </c>
      <c r="E16" s="404">
        <v>119401</v>
      </c>
      <c r="F16" s="404">
        <v>121720</v>
      </c>
      <c r="G16" s="407">
        <v>124038</v>
      </c>
    </row>
    <row r="17" spans="3:8" ht="15" customHeight="1" x14ac:dyDescent="0.25">
      <c r="C17" s="428">
        <v>12</v>
      </c>
      <c r="D17" s="415">
        <v>117547</v>
      </c>
      <c r="E17" s="404">
        <v>120444</v>
      </c>
      <c r="F17" s="404">
        <v>122763</v>
      </c>
      <c r="G17" s="407">
        <v>125082</v>
      </c>
    </row>
    <row r="18" spans="3:8" ht="15" customHeight="1" x14ac:dyDescent="0.25">
      <c r="C18" s="428">
        <v>13</v>
      </c>
      <c r="D18" s="415">
        <v>118590</v>
      </c>
      <c r="E18" s="404">
        <v>121488</v>
      </c>
      <c r="F18" s="404">
        <v>123807</v>
      </c>
      <c r="G18" s="407">
        <v>126125</v>
      </c>
    </row>
    <row r="19" spans="3:8" ht="15" customHeight="1" x14ac:dyDescent="0.25">
      <c r="C19" s="428">
        <v>14</v>
      </c>
      <c r="D19" s="415">
        <v>119633</v>
      </c>
      <c r="E19" s="404">
        <v>122689</v>
      </c>
      <c r="F19" s="404">
        <v>124850</v>
      </c>
      <c r="G19" s="407">
        <v>127168</v>
      </c>
    </row>
    <row r="20" spans="3:8" ht="15" customHeight="1" x14ac:dyDescent="0.25">
      <c r="C20" s="428">
        <v>15</v>
      </c>
      <c r="D20" s="415">
        <v>120676</v>
      </c>
      <c r="E20" s="404">
        <v>123575</v>
      </c>
      <c r="F20" s="404">
        <v>125893</v>
      </c>
      <c r="G20" s="407">
        <v>128211</v>
      </c>
    </row>
    <row r="21" spans="3:8" ht="15" customHeight="1" x14ac:dyDescent="0.25">
      <c r="C21" s="428">
        <v>16</v>
      </c>
      <c r="D21" s="415">
        <v>121720</v>
      </c>
      <c r="E21" s="404">
        <v>124618</v>
      </c>
      <c r="F21" s="404">
        <v>126936</v>
      </c>
      <c r="G21" s="407">
        <v>129254</v>
      </c>
    </row>
    <row r="22" spans="3:8" ht="15" customHeight="1" x14ac:dyDescent="0.25">
      <c r="C22" s="428">
        <v>17</v>
      </c>
      <c r="D22" s="415">
        <v>121720</v>
      </c>
      <c r="E22" s="404">
        <v>124618</v>
      </c>
      <c r="F22" s="404">
        <v>126936</v>
      </c>
      <c r="G22" s="407">
        <v>129254</v>
      </c>
    </row>
    <row r="23" spans="3:8" ht="15" customHeight="1" x14ac:dyDescent="0.25">
      <c r="C23" s="428">
        <v>18</v>
      </c>
      <c r="D23" s="415">
        <v>121720</v>
      </c>
      <c r="E23" s="404">
        <v>124618</v>
      </c>
      <c r="F23" s="404">
        <v>126936</v>
      </c>
      <c r="G23" s="407">
        <v>129254</v>
      </c>
    </row>
    <row r="24" spans="3:8" ht="15" customHeight="1" x14ac:dyDescent="0.25">
      <c r="C24" s="428">
        <v>19</v>
      </c>
      <c r="D24" s="415">
        <v>122763</v>
      </c>
      <c r="E24" s="404">
        <v>125661</v>
      </c>
      <c r="F24" s="404">
        <v>127979</v>
      </c>
      <c r="G24" s="407">
        <v>130297</v>
      </c>
    </row>
    <row r="25" spans="3:8" ht="15" customHeight="1" thickBot="1" x14ac:dyDescent="0.3">
      <c r="C25" s="429">
        <v>20</v>
      </c>
      <c r="D25" s="416">
        <v>122763</v>
      </c>
      <c r="E25" s="408">
        <v>125661</v>
      </c>
      <c r="F25" s="408">
        <v>127979</v>
      </c>
      <c r="G25" s="409">
        <v>130297</v>
      </c>
    </row>
    <row r="27" spans="3:8" ht="34.9" customHeight="1" x14ac:dyDescent="0.25">
      <c r="C27" s="530" t="s">
        <v>91</v>
      </c>
      <c r="D27" s="530"/>
      <c r="E27" s="530"/>
      <c r="F27" s="530"/>
      <c r="G27" s="530"/>
      <c r="H27" s="530"/>
    </row>
  </sheetData>
  <mergeCells count="1">
    <mergeCell ref="C27:H27"/>
  </mergeCells>
  <phoneticPr fontId="5" type="noConversion"/>
  <printOptions horizontalCentered="1"/>
  <pageMargins left="0.7" right="0.7" top="0.75" bottom="0.75" header="0.3" footer="0.3"/>
  <pageSetup orientation="landscape" r:id="rId1"/>
  <headerFooter alignWithMargins="0">
    <oddFooter>&amp;L&amp;"Arial,Bold"&amp;F&amp;C&amp;"Arial,Bold"&amp;D &amp;R&amp;"Arial,Bold"Appendix C-15</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F900D-391B-464B-8E25-581CB5150EDA}">
  <sheetPr codeName="Sheet36"/>
  <dimension ref="B1:L26"/>
  <sheetViews>
    <sheetView showGridLines="0" view="pageLayout" zoomScaleNormal="120" workbookViewId="0">
      <selection activeCell="D5" sqref="D5:L24"/>
    </sheetView>
  </sheetViews>
  <sheetFormatPr defaultColWidth="12.7265625" defaultRowHeight="15" customHeight="1" x14ac:dyDescent="0.25"/>
  <cols>
    <col min="1" max="1" width="3.7265625" style="15" customWidth="1"/>
    <col min="2" max="2" width="6.7265625" style="15" customWidth="1"/>
    <col min="3" max="3" width="12" style="15" customWidth="1"/>
    <col min="4" max="5" width="10.81640625" style="15" customWidth="1"/>
    <col min="6" max="6" width="11.1796875" style="15" customWidth="1"/>
    <col min="7" max="7" width="10.1796875" style="15" customWidth="1"/>
    <col min="8" max="8" width="10.81640625" style="15" customWidth="1"/>
    <col min="9" max="9" width="10" style="15" customWidth="1"/>
    <col min="10" max="11" width="9.81640625" style="15" customWidth="1"/>
    <col min="12" max="12" width="10.453125" style="15" customWidth="1"/>
    <col min="13" max="16384" width="12.7265625" style="15"/>
  </cols>
  <sheetData>
    <row r="1" spans="2:12" ht="15" customHeight="1" thickBot="1" x14ac:dyDescent="0.35">
      <c r="B1" s="3"/>
      <c r="C1" s="3"/>
      <c r="D1" s="3"/>
      <c r="E1" s="122"/>
      <c r="F1" s="3"/>
    </row>
    <row r="2" spans="2:12" s="6" customFormat="1" ht="20.149999999999999" customHeight="1" thickBot="1" x14ac:dyDescent="0.4">
      <c r="B2" s="113" t="s">
        <v>289</v>
      </c>
      <c r="C2" s="114"/>
      <c r="D2" s="114"/>
      <c r="E2" s="114"/>
      <c r="F2" s="114"/>
      <c r="G2" s="114"/>
      <c r="H2" s="114"/>
      <c r="I2" s="114"/>
      <c r="J2" s="375"/>
      <c r="K2" s="114"/>
      <c r="L2" s="270" t="str">
        <f>ACCUM!A3</f>
        <v>FY'23</v>
      </c>
    </row>
    <row r="3" spans="2:12" ht="15" customHeight="1" thickBot="1" x14ac:dyDescent="0.35">
      <c r="B3" s="3"/>
      <c r="C3" s="3"/>
      <c r="D3" s="3"/>
      <c r="E3" s="122"/>
      <c r="F3" s="3"/>
    </row>
    <row r="4" spans="2:12" ht="15" customHeight="1" thickBot="1" x14ac:dyDescent="0.3">
      <c r="C4" s="339" t="s">
        <v>82</v>
      </c>
      <c r="D4" s="413" t="s">
        <v>36</v>
      </c>
      <c r="E4" s="410" t="s">
        <v>37</v>
      </c>
      <c r="F4" s="411" t="s">
        <v>38</v>
      </c>
      <c r="G4" s="411" t="s">
        <v>69</v>
      </c>
      <c r="H4" s="411" t="s">
        <v>70</v>
      </c>
      <c r="I4" s="411" t="s">
        <v>71</v>
      </c>
      <c r="J4" s="411" t="s">
        <v>72</v>
      </c>
      <c r="K4" s="411" t="s">
        <v>50</v>
      </c>
      <c r="L4" s="412" t="s">
        <v>248</v>
      </c>
    </row>
    <row r="5" spans="2:12" ht="15" customHeight="1" x14ac:dyDescent="0.25">
      <c r="C5" s="400">
        <v>1</v>
      </c>
      <c r="D5" s="422">
        <v>48174</v>
      </c>
      <c r="E5" s="405">
        <v>48174</v>
      </c>
      <c r="F5" s="405">
        <v>48174</v>
      </c>
      <c r="G5" s="405">
        <v>52990</v>
      </c>
      <c r="H5" s="405">
        <v>52990</v>
      </c>
      <c r="I5" s="405">
        <v>52990</v>
      </c>
      <c r="J5" s="405">
        <v>52990</v>
      </c>
      <c r="K5" s="405">
        <v>52990</v>
      </c>
      <c r="L5" s="406">
        <v>52990</v>
      </c>
    </row>
    <row r="6" spans="2:12" ht="15" customHeight="1" x14ac:dyDescent="0.25">
      <c r="C6" s="400">
        <v>2</v>
      </c>
      <c r="D6" s="415">
        <v>50582</v>
      </c>
      <c r="E6" s="404">
        <v>51544</v>
      </c>
      <c r="F6" s="404">
        <v>52990</v>
      </c>
      <c r="G6" s="404">
        <v>55400</v>
      </c>
      <c r="H6" s="404">
        <v>55881</v>
      </c>
      <c r="I6" s="404">
        <v>55881</v>
      </c>
      <c r="J6" s="404">
        <v>55881</v>
      </c>
      <c r="K6" s="404">
        <v>55881</v>
      </c>
      <c r="L6" s="407">
        <v>55881</v>
      </c>
    </row>
    <row r="7" spans="2:12" ht="15" customHeight="1" x14ac:dyDescent="0.25">
      <c r="C7" s="400">
        <v>3</v>
      </c>
      <c r="D7" s="415">
        <v>52990</v>
      </c>
      <c r="E7" s="404">
        <v>53954</v>
      </c>
      <c r="F7" s="404">
        <v>55400</v>
      </c>
      <c r="G7" s="404">
        <v>57808</v>
      </c>
      <c r="H7" s="404">
        <v>58289</v>
      </c>
      <c r="I7" s="404">
        <v>58771</v>
      </c>
      <c r="J7" s="404">
        <v>58771</v>
      </c>
      <c r="K7" s="404">
        <v>58771</v>
      </c>
      <c r="L7" s="407">
        <v>58771</v>
      </c>
    </row>
    <row r="8" spans="2:12" ht="15" customHeight="1" x14ac:dyDescent="0.25">
      <c r="C8" s="400">
        <v>4</v>
      </c>
      <c r="D8" s="415">
        <v>55400</v>
      </c>
      <c r="E8" s="404">
        <v>56362</v>
      </c>
      <c r="F8" s="404">
        <v>57808</v>
      </c>
      <c r="G8" s="404">
        <v>60216</v>
      </c>
      <c r="H8" s="404">
        <v>60699</v>
      </c>
      <c r="I8" s="404">
        <v>61180</v>
      </c>
      <c r="J8" s="404">
        <v>62625</v>
      </c>
      <c r="K8" s="404">
        <v>63589</v>
      </c>
      <c r="L8" s="407">
        <v>63589</v>
      </c>
    </row>
    <row r="9" spans="2:12" ht="15" customHeight="1" x14ac:dyDescent="0.25">
      <c r="C9" s="400">
        <v>5</v>
      </c>
      <c r="D9" s="415">
        <v>57808</v>
      </c>
      <c r="E9" s="404">
        <v>58771</v>
      </c>
      <c r="F9" s="404">
        <v>60216</v>
      </c>
      <c r="G9" s="404">
        <v>62625</v>
      </c>
      <c r="H9" s="404">
        <v>63105</v>
      </c>
      <c r="I9" s="404">
        <v>63589</v>
      </c>
      <c r="J9" s="404">
        <v>65034</v>
      </c>
      <c r="K9" s="404">
        <v>65997</v>
      </c>
      <c r="L9" s="407">
        <v>67442</v>
      </c>
    </row>
    <row r="10" spans="2:12" ht="15" customHeight="1" x14ac:dyDescent="0.25">
      <c r="C10" s="400">
        <v>6</v>
      </c>
      <c r="D10" s="415">
        <v>60216</v>
      </c>
      <c r="E10" s="404">
        <v>61180</v>
      </c>
      <c r="F10" s="404">
        <v>62625</v>
      </c>
      <c r="G10" s="404">
        <v>65034</v>
      </c>
      <c r="H10" s="404">
        <v>65515</v>
      </c>
      <c r="I10" s="404">
        <v>65997</v>
      </c>
      <c r="J10" s="404">
        <v>67442</v>
      </c>
      <c r="K10" s="404">
        <v>68405</v>
      </c>
      <c r="L10" s="407">
        <v>69852</v>
      </c>
    </row>
    <row r="11" spans="2:12" ht="15" customHeight="1" x14ac:dyDescent="0.25">
      <c r="C11" s="400">
        <v>7</v>
      </c>
      <c r="D11" s="415">
        <v>62143</v>
      </c>
      <c r="E11" s="404">
        <v>63105</v>
      </c>
      <c r="F11" s="404">
        <v>64553</v>
      </c>
      <c r="G11" s="404">
        <v>67442</v>
      </c>
      <c r="H11" s="404">
        <v>67923</v>
      </c>
      <c r="I11" s="404">
        <v>68405</v>
      </c>
      <c r="J11" s="404">
        <v>69852</v>
      </c>
      <c r="K11" s="404">
        <v>70814</v>
      </c>
      <c r="L11" s="407">
        <v>72260</v>
      </c>
    </row>
    <row r="12" spans="2:12" ht="15" customHeight="1" x14ac:dyDescent="0.25">
      <c r="C12" s="400">
        <v>8</v>
      </c>
      <c r="D12" s="415">
        <v>63589</v>
      </c>
      <c r="E12" s="404">
        <v>65034</v>
      </c>
      <c r="F12" s="404">
        <v>66479</v>
      </c>
      <c r="G12" s="404">
        <v>69852</v>
      </c>
      <c r="H12" s="404">
        <v>70332</v>
      </c>
      <c r="I12" s="404">
        <v>70814</v>
      </c>
      <c r="J12" s="404">
        <v>72260</v>
      </c>
      <c r="K12" s="404">
        <v>73222</v>
      </c>
      <c r="L12" s="407">
        <v>74670</v>
      </c>
    </row>
    <row r="13" spans="2:12" ht="15" customHeight="1" x14ac:dyDescent="0.25">
      <c r="C13" s="400">
        <v>9</v>
      </c>
      <c r="D13" s="415">
        <v>65034</v>
      </c>
      <c r="E13" s="404">
        <v>66479</v>
      </c>
      <c r="F13" s="404">
        <v>68405</v>
      </c>
      <c r="G13" s="404">
        <v>71779</v>
      </c>
      <c r="H13" s="404">
        <v>72260</v>
      </c>
      <c r="I13" s="404">
        <v>73222</v>
      </c>
      <c r="J13" s="404">
        <v>74670</v>
      </c>
      <c r="K13" s="404">
        <v>75632</v>
      </c>
      <c r="L13" s="407">
        <v>77076</v>
      </c>
    </row>
    <row r="14" spans="2:12" ht="15" customHeight="1" x14ac:dyDescent="0.25">
      <c r="C14" s="400">
        <v>10</v>
      </c>
      <c r="D14" s="415">
        <v>66479</v>
      </c>
      <c r="E14" s="404">
        <v>67923</v>
      </c>
      <c r="F14" s="404">
        <v>69852</v>
      </c>
      <c r="G14" s="404">
        <v>73705</v>
      </c>
      <c r="H14" s="404">
        <v>74186</v>
      </c>
      <c r="I14" s="404">
        <v>75150</v>
      </c>
      <c r="J14" s="404">
        <v>77076</v>
      </c>
      <c r="K14" s="404">
        <v>78041</v>
      </c>
      <c r="L14" s="407">
        <v>79486</v>
      </c>
    </row>
    <row r="15" spans="2:12" ht="15" customHeight="1" x14ac:dyDescent="0.25">
      <c r="C15" s="400">
        <v>11</v>
      </c>
      <c r="D15" s="415">
        <v>67923</v>
      </c>
      <c r="E15" s="404">
        <v>69370</v>
      </c>
      <c r="F15" s="404">
        <v>71296</v>
      </c>
      <c r="G15" s="404">
        <v>75150</v>
      </c>
      <c r="H15" s="404">
        <v>76113</v>
      </c>
      <c r="I15" s="404">
        <v>77076</v>
      </c>
      <c r="J15" s="404">
        <v>79005</v>
      </c>
      <c r="K15" s="404">
        <v>80449</v>
      </c>
      <c r="L15" s="407">
        <v>81895</v>
      </c>
    </row>
    <row r="16" spans="2:12" ht="15" customHeight="1" x14ac:dyDescent="0.25">
      <c r="C16" s="400">
        <v>12</v>
      </c>
      <c r="D16" s="415">
        <v>69370</v>
      </c>
      <c r="E16" s="404">
        <v>70814</v>
      </c>
      <c r="F16" s="404">
        <v>72741</v>
      </c>
      <c r="G16" s="404">
        <v>76595</v>
      </c>
      <c r="H16" s="404">
        <v>77558</v>
      </c>
      <c r="I16" s="404">
        <v>79005</v>
      </c>
      <c r="J16" s="404">
        <v>80931</v>
      </c>
      <c r="K16" s="404">
        <v>82375</v>
      </c>
      <c r="L16" s="407">
        <v>84303</v>
      </c>
    </row>
    <row r="17" spans="3:12" ht="15" customHeight="1" x14ac:dyDescent="0.25">
      <c r="C17" s="400">
        <v>13</v>
      </c>
      <c r="D17" s="415">
        <v>70332</v>
      </c>
      <c r="E17" s="404">
        <v>71779</v>
      </c>
      <c r="F17" s="404">
        <v>74186</v>
      </c>
      <c r="G17" s="404">
        <v>78041</v>
      </c>
      <c r="H17" s="404">
        <v>79005</v>
      </c>
      <c r="I17" s="404">
        <v>80931</v>
      </c>
      <c r="J17" s="404">
        <v>82858</v>
      </c>
      <c r="K17" s="404">
        <v>84303</v>
      </c>
      <c r="L17" s="407">
        <v>86712</v>
      </c>
    </row>
    <row r="18" spans="3:12" ht="15" customHeight="1" x14ac:dyDescent="0.25">
      <c r="C18" s="400">
        <v>14</v>
      </c>
      <c r="D18" s="415">
        <v>71296</v>
      </c>
      <c r="E18" s="404">
        <v>72741</v>
      </c>
      <c r="F18" s="404">
        <v>75632</v>
      </c>
      <c r="G18" s="404">
        <v>79486</v>
      </c>
      <c r="H18" s="404">
        <v>80449</v>
      </c>
      <c r="I18" s="404">
        <v>82375</v>
      </c>
      <c r="J18" s="404">
        <v>84784</v>
      </c>
      <c r="K18" s="404">
        <v>86231</v>
      </c>
      <c r="L18" s="407">
        <v>89122</v>
      </c>
    </row>
    <row r="19" spans="3:12" ht="15" customHeight="1" x14ac:dyDescent="0.25">
      <c r="C19" s="400">
        <v>15</v>
      </c>
      <c r="D19" s="415">
        <v>72260</v>
      </c>
      <c r="E19" s="404">
        <v>73705</v>
      </c>
      <c r="F19" s="404">
        <v>76595</v>
      </c>
      <c r="G19" s="404">
        <v>80931</v>
      </c>
      <c r="H19" s="404">
        <v>81895</v>
      </c>
      <c r="I19" s="404">
        <v>83822</v>
      </c>
      <c r="J19" s="404">
        <v>86712</v>
      </c>
      <c r="K19" s="404">
        <v>88156</v>
      </c>
      <c r="L19" s="407">
        <v>91529</v>
      </c>
    </row>
    <row r="20" spans="3:12" ht="15" customHeight="1" x14ac:dyDescent="0.25">
      <c r="C20" s="400">
        <v>16</v>
      </c>
      <c r="D20" s="415">
        <v>72260</v>
      </c>
      <c r="E20" s="404">
        <v>73705</v>
      </c>
      <c r="F20" s="404">
        <v>76595</v>
      </c>
      <c r="G20" s="404">
        <v>80931</v>
      </c>
      <c r="H20" s="404">
        <v>81895</v>
      </c>
      <c r="I20" s="404">
        <v>83822</v>
      </c>
      <c r="J20" s="404">
        <v>86712</v>
      </c>
      <c r="K20" s="404">
        <v>88156</v>
      </c>
      <c r="L20" s="407">
        <v>91529</v>
      </c>
    </row>
    <row r="21" spans="3:12" ht="15" customHeight="1" x14ac:dyDescent="0.25">
      <c r="C21" s="400">
        <v>17</v>
      </c>
      <c r="D21" s="415">
        <v>72260</v>
      </c>
      <c r="E21" s="404">
        <v>73705</v>
      </c>
      <c r="F21" s="404">
        <v>76595</v>
      </c>
      <c r="G21" s="404">
        <v>80931</v>
      </c>
      <c r="H21" s="404">
        <v>81895</v>
      </c>
      <c r="I21" s="404">
        <v>83822</v>
      </c>
      <c r="J21" s="404">
        <v>86712</v>
      </c>
      <c r="K21" s="404">
        <v>88156</v>
      </c>
      <c r="L21" s="407">
        <v>91529</v>
      </c>
    </row>
    <row r="22" spans="3:12" ht="15" customHeight="1" x14ac:dyDescent="0.25">
      <c r="C22" s="400">
        <v>18</v>
      </c>
      <c r="D22" s="415">
        <v>72260</v>
      </c>
      <c r="E22" s="404">
        <v>73705</v>
      </c>
      <c r="F22" s="404">
        <v>76595</v>
      </c>
      <c r="G22" s="404">
        <v>80931</v>
      </c>
      <c r="H22" s="404">
        <v>81895</v>
      </c>
      <c r="I22" s="404">
        <v>83822</v>
      </c>
      <c r="J22" s="404">
        <v>86712</v>
      </c>
      <c r="K22" s="404">
        <v>88156</v>
      </c>
      <c r="L22" s="407">
        <v>91529</v>
      </c>
    </row>
    <row r="23" spans="3:12" ht="15" customHeight="1" x14ac:dyDescent="0.25">
      <c r="C23" s="400">
        <v>19</v>
      </c>
      <c r="D23" s="415">
        <v>72260</v>
      </c>
      <c r="E23" s="404">
        <v>73705</v>
      </c>
      <c r="F23" s="404">
        <v>76595</v>
      </c>
      <c r="G23" s="404">
        <v>80931</v>
      </c>
      <c r="H23" s="404">
        <v>81895</v>
      </c>
      <c r="I23" s="404">
        <v>83822</v>
      </c>
      <c r="J23" s="404">
        <v>86712</v>
      </c>
      <c r="K23" s="404">
        <v>88156</v>
      </c>
      <c r="L23" s="407">
        <v>91529</v>
      </c>
    </row>
    <row r="24" spans="3:12" ht="15" customHeight="1" thickBot="1" x14ac:dyDescent="0.3">
      <c r="C24" s="401">
        <v>20</v>
      </c>
      <c r="D24" s="416">
        <v>74186</v>
      </c>
      <c r="E24" s="408">
        <v>75632</v>
      </c>
      <c r="F24" s="408">
        <v>78522</v>
      </c>
      <c r="G24" s="408">
        <v>82858</v>
      </c>
      <c r="H24" s="408">
        <v>83822</v>
      </c>
      <c r="I24" s="408">
        <v>85749</v>
      </c>
      <c r="J24" s="408">
        <v>88639</v>
      </c>
      <c r="K24" s="408">
        <v>90084</v>
      </c>
      <c r="L24" s="409">
        <v>93455</v>
      </c>
    </row>
    <row r="26" spans="3:12" ht="34.9" customHeight="1" x14ac:dyDescent="0.25">
      <c r="C26" s="530" t="s">
        <v>91</v>
      </c>
      <c r="D26" s="530"/>
      <c r="E26" s="530"/>
      <c r="F26" s="530"/>
      <c r="G26" s="530"/>
      <c r="H26" s="530"/>
    </row>
  </sheetData>
  <mergeCells count="1">
    <mergeCell ref="C26:H26"/>
  </mergeCells>
  <printOptions horizontalCentered="1"/>
  <pageMargins left="0.7" right="0.7" top="0.75" bottom="0.75" header="0.3" footer="0.3"/>
  <pageSetup orientation="landscape" r:id="rId1"/>
  <headerFooter alignWithMargins="0">
    <oddFooter>&amp;L&amp;"Arial,Bold"&amp;F&amp;C&amp;"Arial,Bold"&amp;D &amp;R&amp;"Arial,Bold"Appendix C-16</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B1:I128"/>
  <sheetViews>
    <sheetView zoomScale="120" zoomScaleNormal="120" zoomScalePageLayoutView="172" workbookViewId="0">
      <selection activeCell="E18" sqref="E18"/>
    </sheetView>
  </sheetViews>
  <sheetFormatPr defaultColWidth="9.1796875" defaultRowHeight="12.5" x14ac:dyDescent="0.25"/>
  <cols>
    <col min="1" max="1" width="3.7265625" style="15" customWidth="1"/>
    <col min="2" max="2" width="10.7265625" style="15" customWidth="1"/>
    <col min="3" max="3" width="6" style="15" hidden="1" customWidth="1"/>
    <col min="4" max="8" width="20.7265625" style="15" customWidth="1"/>
    <col min="9" max="9" width="3.7265625" style="15" customWidth="1"/>
    <col min="10" max="16384" width="9.1796875" style="15"/>
  </cols>
  <sheetData>
    <row r="1" spans="2:8" ht="13" thickBot="1" x14ac:dyDescent="0.3"/>
    <row r="2" spans="2:8" s="6" customFormat="1" ht="20.149999999999999" customHeight="1" thickBot="1" x14ac:dyDescent="0.4">
      <c r="B2" s="526" t="s">
        <v>227</v>
      </c>
      <c r="C2" s="527"/>
      <c r="D2" s="527"/>
      <c r="E2" s="527"/>
      <c r="F2" s="527"/>
      <c r="G2" s="527"/>
      <c r="H2" s="270" t="str">
        <f>ACCUM!A3</f>
        <v>FY'23</v>
      </c>
    </row>
    <row r="3" spans="2:8" ht="13" hidden="1" thickBot="1" x14ac:dyDescent="0.3"/>
    <row r="4" spans="2:8" ht="16.899999999999999" hidden="1" customHeight="1" thickTop="1" x14ac:dyDescent="0.3">
      <c r="B4" s="7" t="s">
        <v>40</v>
      </c>
      <c r="C4" s="143"/>
      <c r="D4" s="144" t="s">
        <v>58</v>
      </c>
      <c r="E4" s="145" t="s">
        <v>59</v>
      </c>
      <c r="F4" s="144" t="s">
        <v>60</v>
      </c>
      <c r="G4" s="144" t="s">
        <v>62</v>
      </c>
      <c r="H4" s="146" t="s">
        <v>90</v>
      </c>
    </row>
    <row r="5" spans="2:8" ht="15" hidden="1" customHeight="1" thickBot="1" x14ac:dyDescent="0.35">
      <c r="B5" s="154" t="s">
        <v>4</v>
      </c>
      <c r="C5" s="147"/>
      <c r="D5" s="148">
        <v>0.185</v>
      </c>
      <c r="E5" s="149">
        <v>0.115</v>
      </c>
      <c r="F5" s="148">
        <v>9.8000000000000004E-2</v>
      </c>
      <c r="G5" s="148">
        <v>6.3E-2</v>
      </c>
      <c r="H5" s="150">
        <v>5.3999999999999999E-2</v>
      </c>
    </row>
    <row r="6" spans="2:8" ht="13.5" thickBot="1" x14ac:dyDescent="0.35">
      <c r="B6" s="101" t="s">
        <v>81</v>
      </c>
      <c r="C6" s="123" t="s">
        <v>61</v>
      </c>
      <c r="D6" s="101" t="s">
        <v>58</v>
      </c>
      <c r="E6" s="101" t="s">
        <v>59</v>
      </c>
      <c r="F6" s="101" t="s">
        <v>60</v>
      </c>
      <c r="G6" s="101" t="s">
        <v>62</v>
      </c>
      <c r="H6" s="101" t="s">
        <v>90</v>
      </c>
    </row>
    <row r="7" spans="2:8" x14ac:dyDescent="0.25">
      <c r="B7" s="156">
        <v>1</v>
      </c>
      <c r="C7" s="128">
        <v>1</v>
      </c>
      <c r="D7" s="119">
        <v>9048</v>
      </c>
      <c r="E7" s="119">
        <v>5625</v>
      </c>
      <c r="F7" s="119">
        <v>4793</v>
      </c>
      <c r="G7" s="119">
        <v>3081</v>
      </c>
      <c r="H7" s="119">
        <v>2641</v>
      </c>
    </row>
    <row r="8" spans="2:8" x14ac:dyDescent="0.25">
      <c r="B8" s="156">
        <v>2</v>
      </c>
      <c r="C8" s="128">
        <v>1.07</v>
      </c>
      <c r="D8" s="119">
        <v>9448</v>
      </c>
      <c r="E8" s="119">
        <v>5873</v>
      </c>
      <c r="F8" s="119">
        <v>5005</v>
      </c>
      <c r="G8" s="119">
        <v>3217</v>
      </c>
      <c r="H8" s="119">
        <v>2758</v>
      </c>
    </row>
    <row r="9" spans="2:8" x14ac:dyDescent="0.25">
      <c r="B9" s="156">
        <v>3</v>
      </c>
      <c r="C9" s="128">
        <v>1.1299999999999999</v>
      </c>
      <c r="D9" s="119">
        <v>9849</v>
      </c>
      <c r="E9" s="119">
        <v>6123</v>
      </c>
      <c r="F9" s="119">
        <v>5217</v>
      </c>
      <c r="G9" s="119">
        <v>3354</v>
      </c>
      <c r="H9" s="119">
        <v>2874</v>
      </c>
    </row>
    <row r="10" spans="2:8" x14ac:dyDescent="0.25">
      <c r="B10" s="156">
        <v>4</v>
      </c>
      <c r="C10" s="128">
        <v>1.18</v>
      </c>
      <c r="D10" s="119">
        <v>10569</v>
      </c>
      <c r="E10" s="119">
        <v>6570</v>
      </c>
      <c r="F10" s="119">
        <v>5599</v>
      </c>
      <c r="G10" s="119">
        <v>3600</v>
      </c>
      <c r="H10" s="119">
        <v>3085</v>
      </c>
    </row>
    <row r="11" spans="2:8" x14ac:dyDescent="0.25">
      <c r="B11" s="156">
        <v>5</v>
      </c>
      <c r="C11" s="128">
        <v>1.23</v>
      </c>
      <c r="D11" s="119">
        <v>11049</v>
      </c>
      <c r="E11" s="119">
        <v>6868</v>
      </c>
      <c r="F11" s="119">
        <v>5854</v>
      </c>
      <c r="G11" s="119">
        <v>3762</v>
      </c>
      <c r="H11" s="119">
        <v>3226</v>
      </c>
    </row>
    <row r="12" spans="2:8" x14ac:dyDescent="0.25">
      <c r="B12" s="156">
        <v>6</v>
      </c>
      <c r="C12" s="128">
        <v>1.32</v>
      </c>
      <c r="D12" s="119">
        <v>11449</v>
      </c>
      <c r="E12" s="119">
        <v>7117</v>
      </c>
      <c r="F12" s="119">
        <v>6066</v>
      </c>
      <c r="G12" s="119">
        <v>3900</v>
      </c>
      <c r="H12" s="119">
        <v>3342</v>
      </c>
    </row>
    <row r="13" spans="2:8" x14ac:dyDescent="0.25">
      <c r="B13" s="156">
        <v>7</v>
      </c>
      <c r="C13" s="128">
        <v>1.38</v>
      </c>
      <c r="D13" s="119">
        <v>11770</v>
      </c>
      <c r="E13" s="119">
        <v>7316</v>
      </c>
      <c r="F13" s="119">
        <v>6235</v>
      </c>
      <c r="G13" s="119">
        <v>4009</v>
      </c>
      <c r="H13" s="119">
        <v>3436</v>
      </c>
    </row>
    <row r="14" spans="2:8" x14ac:dyDescent="0.25">
      <c r="B14" s="156">
        <v>8</v>
      </c>
      <c r="C14" s="128">
        <v>1.43</v>
      </c>
      <c r="D14" s="119">
        <v>12171</v>
      </c>
      <c r="E14" s="119">
        <v>7565</v>
      </c>
      <c r="F14" s="119">
        <v>6447</v>
      </c>
      <c r="G14" s="119">
        <v>4145</v>
      </c>
      <c r="H14" s="119">
        <v>3552</v>
      </c>
    </row>
    <row r="15" spans="2:8" x14ac:dyDescent="0.25">
      <c r="B15" s="156">
        <v>9</v>
      </c>
      <c r="C15" s="128">
        <v>1.47</v>
      </c>
      <c r="D15" s="119">
        <v>12570</v>
      </c>
      <c r="E15" s="119">
        <v>7814</v>
      </c>
      <c r="F15" s="119">
        <v>6659</v>
      </c>
      <c r="G15" s="119">
        <v>4280</v>
      </c>
      <c r="H15" s="119">
        <v>3669</v>
      </c>
    </row>
    <row r="16" spans="2:8" x14ac:dyDescent="0.25">
      <c r="B16" s="117">
        <v>10</v>
      </c>
      <c r="C16" s="128">
        <v>1.52</v>
      </c>
      <c r="D16" s="119">
        <v>13132</v>
      </c>
      <c r="E16" s="119">
        <v>8163</v>
      </c>
      <c r="F16" s="119">
        <v>6956</v>
      </c>
      <c r="G16" s="119">
        <v>4472</v>
      </c>
      <c r="H16" s="119">
        <v>3833</v>
      </c>
    </row>
    <row r="17" spans="2:8" x14ac:dyDescent="0.25">
      <c r="B17" s="117">
        <v>15</v>
      </c>
      <c r="C17" s="34">
        <v>1.57</v>
      </c>
      <c r="D17" s="119">
        <v>13162</v>
      </c>
      <c r="E17" s="119">
        <v>8683</v>
      </c>
      <c r="F17" s="119">
        <v>7476</v>
      </c>
      <c r="G17" s="119">
        <v>4992</v>
      </c>
      <c r="H17" s="119">
        <v>4353</v>
      </c>
    </row>
    <row r="18" spans="2:8" x14ac:dyDescent="0.25">
      <c r="B18" s="117">
        <v>20</v>
      </c>
      <c r="C18" s="34">
        <v>1.64</v>
      </c>
      <c r="D18" s="119">
        <v>14172</v>
      </c>
      <c r="E18" s="119">
        <v>9203</v>
      </c>
      <c r="F18" s="119">
        <v>7996</v>
      </c>
      <c r="G18" s="119">
        <v>5513</v>
      </c>
      <c r="H18" s="119">
        <v>4873</v>
      </c>
    </row>
    <row r="19" spans="2:8" x14ac:dyDescent="0.25">
      <c r="B19" s="157"/>
      <c r="C19" s="31"/>
      <c r="D19" s="157" t="s">
        <v>13</v>
      </c>
      <c r="E19" s="157" t="s">
        <v>300</v>
      </c>
      <c r="F19" s="157" t="s">
        <v>27</v>
      </c>
      <c r="G19" s="157" t="s">
        <v>303</v>
      </c>
      <c r="H19" s="157" t="s">
        <v>26</v>
      </c>
    </row>
    <row r="20" spans="2:8" x14ac:dyDescent="0.25">
      <c r="B20" s="157"/>
      <c r="C20" s="31"/>
      <c r="D20" s="157" t="s">
        <v>24</v>
      </c>
      <c r="E20" s="157" t="s">
        <v>21</v>
      </c>
      <c r="F20" s="157" t="s">
        <v>31</v>
      </c>
      <c r="G20" s="157" t="s">
        <v>127</v>
      </c>
      <c r="H20" s="157" t="s">
        <v>28</v>
      </c>
    </row>
    <row r="21" spans="2:8" x14ac:dyDescent="0.25">
      <c r="B21" s="157"/>
      <c r="C21" s="31"/>
      <c r="D21" s="157" t="s">
        <v>100</v>
      </c>
      <c r="E21" s="157" t="s">
        <v>101</v>
      </c>
      <c r="F21" s="157" t="s">
        <v>15</v>
      </c>
      <c r="G21" s="157" t="s">
        <v>16</v>
      </c>
      <c r="H21" s="157" t="s">
        <v>14</v>
      </c>
    </row>
    <row r="22" spans="2:8" x14ac:dyDescent="0.25">
      <c r="B22" s="157"/>
      <c r="C22" s="31"/>
      <c r="D22" s="157" t="s">
        <v>0</v>
      </c>
      <c r="E22" s="157" t="s">
        <v>298</v>
      </c>
      <c r="F22" s="157" t="s">
        <v>25</v>
      </c>
      <c r="G22" s="157" t="s">
        <v>10</v>
      </c>
      <c r="H22" s="157" t="s">
        <v>8</v>
      </c>
    </row>
    <row r="23" spans="2:8" x14ac:dyDescent="0.25">
      <c r="B23" s="157"/>
      <c r="C23" s="31"/>
      <c r="D23" s="157"/>
      <c r="E23" s="157" t="s">
        <v>11</v>
      </c>
      <c r="F23" s="157" t="s">
        <v>17</v>
      </c>
      <c r="G23" s="157" t="s">
        <v>9</v>
      </c>
      <c r="H23" s="157" t="s">
        <v>23</v>
      </c>
    </row>
    <row r="24" spans="2:8" x14ac:dyDescent="0.25">
      <c r="B24" s="157"/>
      <c r="C24" s="31"/>
      <c r="D24" s="157"/>
      <c r="E24" s="157"/>
      <c r="F24" s="157" t="s">
        <v>29</v>
      </c>
      <c r="G24" s="157" t="s">
        <v>30</v>
      </c>
      <c r="H24" s="157" t="s">
        <v>307</v>
      </c>
    </row>
    <row r="25" spans="2:8" x14ac:dyDescent="0.25">
      <c r="B25" s="157"/>
      <c r="C25" s="31"/>
      <c r="D25" s="157"/>
      <c r="E25" s="157"/>
      <c r="F25" s="157" t="s">
        <v>20</v>
      </c>
      <c r="G25" s="157" t="s">
        <v>22</v>
      </c>
      <c r="H25" s="157" t="s">
        <v>308</v>
      </c>
    </row>
    <row r="26" spans="2:8" x14ac:dyDescent="0.25">
      <c r="B26" s="157"/>
      <c r="C26" s="31"/>
      <c r="D26" s="157"/>
      <c r="E26" s="157"/>
      <c r="F26" s="157" t="s">
        <v>12</v>
      </c>
      <c r="G26" s="157" t="s">
        <v>302</v>
      </c>
      <c r="H26" s="157"/>
    </row>
    <row r="27" spans="2:8" x14ac:dyDescent="0.25">
      <c r="B27" s="157"/>
      <c r="C27" s="31"/>
      <c r="D27" s="157"/>
      <c r="E27" s="157"/>
      <c r="F27" s="157" t="s">
        <v>18</v>
      </c>
      <c r="G27" s="157" t="s">
        <v>301</v>
      </c>
      <c r="H27" s="157"/>
    </row>
    <row r="28" spans="2:8" x14ac:dyDescent="0.25">
      <c r="B28" s="157"/>
      <c r="C28" s="31"/>
      <c r="D28" s="157"/>
      <c r="E28" s="157"/>
      <c r="F28" s="157" t="s">
        <v>6</v>
      </c>
      <c r="G28" s="157" t="s">
        <v>304</v>
      </c>
      <c r="H28" s="157"/>
    </row>
    <row r="29" spans="2:8" x14ac:dyDescent="0.25">
      <c r="B29" s="157"/>
      <c r="C29" s="31"/>
      <c r="D29" s="117" t="s">
        <v>228</v>
      </c>
      <c r="E29" s="157"/>
      <c r="F29" s="157" t="s">
        <v>103</v>
      </c>
      <c r="G29" s="157" t="s">
        <v>305</v>
      </c>
      <c r="H29" s="157"/>
    </row>
    <row r="30" spans="2:8" x14ac:dyDescent="0.25">
      <c r="B30" s="157"/>
      <c r="C30" s="31"/>
      <c r="D30" s="117" t="s">
        <v>74</v>
      </c>
      <c r="E30" s="157"/>
      <c r="G30" s="157" t="s">
        <v>306</v>
      </c>
      <c r="H30" s="157"/>
    </row>
    <row r="31" spans="2:8" ht="13" thickBot="1" x14ac:dyDescent="0.3">
      <c r="B31" s="158"/>
      <c r="C31" s="35"/>
      <c r="D31" s="158"/>
      <c r="E31" s="158"/>
      <c r="F31" s="158"/>
      <c r="G31" s="158"/>
      <c r="H31" s="158"/>
    </row>
    <row r="32" spans="2:8" ht="13" thickBot="1" x14ac:dyDescent="0.3"/>
    <row r="33" spans="2:8" s="6" customFormat="1" ht="20.149999999999999" customHeight="1" thickBot="1" x14ac:dyDescent="0.4">
      <c r="B33" s="113" t="s">
        <v>229</v>
      </c>
      <c r="C33" s="114"/>
      <c r="D33" s="114"/>
      <c r="E33" s="114"/>
      <c r="F33" s="114"/>
      <c r="G33" s="114"/>
      <c r="H33" s="270" t="str">
        <f>+H2</f>
        <v>FY'23</v>
      </c>
    </row>
    <row r="35" spans="2:8" x14ac:dyDescent="0.25">
      <c r="D35" s="15" t="s">
        <v>56</v>
      </c>
    </row>
    <row r="36" spans="2:8" x14ac:dyDescent="0.25">
      <c r="E36" s="15" t="s">
        <v>96</v>
      </c>
      <c r="H36" s="15" t="s">
        <v>97</v>
      </c>
    </row>
    <row r="37" spans="2:8" x14ac:dyDescent="0.25">
      <c r="E37" s="15" t="s">
        <v>99</v>
      </c>
      <c r="H37" s="15" t="s">
        <v>98</v>
      </c>
    </row>
    <row r="38" spans="2:8" x14ac:dyDescent="0.25">
      <c r="E38" s="15" t="s">
        <v>45</v>
      </c>
      <c r="H38" s="15" t="s">
        <v>97</v>
      </c>
    </row>
    <row r="39" spans="2:8" x14ac:dyDescent="0.25">
      <c r="E39" s="15" t="s">
        <v>44</v>
      </c>
      <c r="H39" s="15" t="s">
        <v>98</v>
      </c>
    </row>
    <row r="41" spans="2:8" x14ac:dyDescent="0.25">
      <c r="D41" s="15" t="s">
        <v>128</v>
      </c>
      <c r="H41" s="15" t="s">
        <v>108</v>
      </c>
    </row>
    <row r="42" spans="2:8" x14ac:dyDescent="0.25">
      <c r="D42" s="15" t="s">
        <v>129</v>
      </c>
      <c r="H42" s="15" t="s">
        <v>130</v>
      </c>
    </row>
    <row r="43" spans="2:8" x14ac:dyDescent="0.25">
      <c r="D43" s="15" t="s">
        <v>131</v>
      </c>
      <c r="H43" s="16" t="s">
        <v>102</v>
      </c>
    </row>
    <row r="44" spans="2:8" x14ac:dyDescent="0.25">
      <c r="D44" s="15" t="s">
        <v>116</v>
      </c>
      <c r="H44" s="16" t="s">
        <v>117</v>
      </c>
    </row>
    <row r="45" spans="2:8" ht="3.75" customHeight="1" x14ac:dyDescent="0.3">
      <c r="D45" s="2"/>
      <c r="H45" s="16"/>
    </row>
    <row r="46" spans="2:8" ht="13" x14ac:dyDescent="0.3">
      <c r="B46" s="335" t="s">
        <v>89</v>
      </c>
      <c r="C46" s="336"/>
      <c r="D46" s="336"/>
      <c r="E46" s="336"/>
      <c r="F46" s="336"/>
      <c r="G46" s="336"/>
      <c r="H46" s="337"/>
    </row>
    <row r="48" spans="2:8" x14ac:dyDescent="0.25">
      <c r="D48" s="15" t="s">
        <v>35</v>
      </c>
      <c r="G48" s="15" t="s">
        <v>0</v>
      </c>
    </row>
    <row r="49" spans="2:9" x14ac:dyDescent="0.25">
      <c r="E49" s="15" t="s">
        <v>87</v>
      </c>
      <c r="H49" s="15" t="s">
        <v>2</v>
      </c>
    </row>
    <row r="50" spans="2:9" x14ac:dyDescent="0.25">
      <c r="D50" s="15" t="s">
        <v>55</v>
      </c>
    </row>
    <row r="51" spans="2:9" x14ac:dyDescent="0.25">
      <c r="E51" s="15" t="s">
        <v>87</v>
      </c>
      <c r="H51" s="15" t="s">
        <v>3</v>
      </c>
    </row>
    <row r="52" spans="2:9" x14ac:dyDescent="0.25">
      <c r="D52" s="15" t="s">
        <v>33</v>
      </c>
    </row>
    <row r="53" spans="2:9" x14ac:dyDescent="0.25">
      <c r="E53" s="15" t="s">
        <v>87</v>
      </c>
      <c r="H53" s="15" t="s">
        <v>1</v>
      </c>
    </row>
    <row r="54" spans="2:9" x14ac:dyDescent="0.25">
      <c r="B54" s="15" t="s">
        <v>0</v>
      </c>
    </row>
    <row r="55" spans="2:9" x14ac:dyDescent="0.25">
      <c r="D55" s="15" t="s">
        <v>88</v>
      </c>
      <c r="H55" s="532" t="s">
        <v>118</v>
      </c>
    </row>
    <row r="56" spans="2:9" x14ac:dyDescent="0.25">
      <c r="H56" s="532"/>
    </row>
    <row r="58" spans="2:9" x14ac:dyDescent="0.25">
      <c r="B58" s="19"/>
      <c r="C58" s="19"/>
      <c r="D58" s="19"/>
      <c r="E58" s="19"/>
      <c r="F58" s="19"/>
      <c r="G58" s="19"/>
      <c r="H58" s="19"/>
      <c r="I58" s="19"/>
    </row>
    <row r="59" spans="2:9" ht="13" x14ac:dyDescent="0.3">
      <c r="B59" s="30"/>
      <c r="C59" s="19"/>
      <c r="D59" s="19"/>
      <c r="E59" s="19"/>
      <c r="F59" s="19"/>
      <c r="G59" s="19"/>
      <c r="H59" s="19"/>
      <c r="I59" s="19"/>
    </row>
    <row r="60" spans="2:9" x14ac:dyDescent="0.25">
      <c r="B60" s="19"/>
      <c r="C60" s="19"/>
      <c r="D60" s="19"/>
      <c r="E60" s="19"/>
      <c r="F60" s="19"/>
      <c r="G60" s="19"/>
      <c r="H60" s="19"/>
      <c r="I60" s="19"/>
    </row>
    <row r="61" spans="2:9" ht="13" x14ac:dyDescent="0.3">
      <c r="B61" s="10"/>
      <c r="C61" s="21"/>
      <c r="D61" s="20"/>
      <c r="E61" s="20"/>
      <c r="F61" s="20"/>
      <c r="G61" s="20"/>
      <c r="H61" s="20"/>
      <c r="I61" s="19"/>
    </row>
    <row r="62" spans="2:9" ht="13" x14ac:dyDescent="0.3">
      <c r="B62" s="10"/>
      <c r="C62" s="151"/>
      <c r="D62" s="152"/>
      <c r="E62" s="152"/>
      <c r="F62" s="152"/>
      <c r="G62" s="152"/>
      <c r="H62" s="152"/>
      <c r="I62" s="19"/>
    </row>
    <row r="63" spans="2:9" x14ac:dyDescent="0.25">
      <c r="B63" s="19"/>
      <c r="C63" s="141"/>
      <c r="D63" s="26"/>
      <c r="E63" s="26"/>
      <c r="F63" s="26"/>
      <c r="G63" s="26"/>
      <c r="H63" s="26"/>
      <c r="I63" s="19"/>
    </row>
    <row r="64" spans="2:9" x14ac:dyDescent="0.25">
      <c r="B64" s="142"/>
      <c r="C64" s="153"/>
      <c r="D64" s="23"/>
      <c r="E64" s="23"/>
      <c r="F64" s="23"/>
      <c r="G64" s="23"/>
      <c r="H64" s="23"/>
      <c r="I64" s="19"/>
    </row>
    <row r="65" spans="2:9" x14ac:dyDescent="0.25">
      <c r="B65" s="142"/>
      <c r="C65" s="153"/>
      <c r="D65" s="23"/>
      <c r="E65" s="23"/>
      <c r="F65" s="23"/>
      <c r="G65" s="23"/>
      <c r="H65" s="23"/>
      <c r="I65" s="19"/>
    </row>
    <row r="66" spans="2:9" x14ac:dyDescent="0.25">
      <c r="B66" s="142"/>
      <c r="C66" s="153"/>
      <c r="D66" s="23"/>
      <c r="E66" s="23"/>
      <c r="F66" s="23"/>
      <c r="G66" s="23"/>
      <c r="H66" s="23"/>
      <c r="I66" s="19"/>
    </row>
    <row r="67" spans="2:9" x14ac:dyDescent="0.25">
      <c r="B67" s="142"/>
      <c r="C67" s="153"/>
      <c r="D67" s="23"/>
      <c r="E67" s="23"/>
      <c r="F67" s="23"/>
      <c r="G67" s="23"/>
      <c r="H67" s="23"/>
      <c r="I67" s="19"/>
    </row>
    <row r="68" spans="2:9" x14ac:dyDescent="0.25">
      <c r="B68" s="142"/>
      <c r="C68" s="153"/>
      <c r="D68" s="23"/>
      <c r="E68" s="23"/>
      <c r="F68" s="23"/>
      <c r="G68" s="23"/>
      <c r="H68" s="23"/>
      <c r="I68" s="19"/>
    </row>
    <row r="69" spans="2:9" x14ac:dyDescent="0.25">
      <c r="B69" s="142"/>
      <c r="C69" s="153"/>
      <c r="D69" s="23"/>
      <c r="E69" s="23"/>
      <c r="F69" s="23"/>
      <c r="G69" s="23"/>
      <c r="H69" s="23"/>
      <c r="I69" s="19"/>
    </row>
    <row r="70" spans="2:9" x14ac:dyDescent="0.25">
      <c r="B70" s="142"/>
      <c r="C70" s="153"/>
      <c r="D70" s="23"/>
      <c r="E70" s="23"/>
      <c r="F70" s="23"/>
      <c r="G70" s="23"/>
      <c r="H70" s="23"/>
      <c r="I70" s="19"/>
    </row>
    <row r="71" spans="2:9" x14ac:dyDescent="0.25">
      <c r="B71" s="142"/>
      <c r="C71" s="153"/>
      <c r="D71" s="23"/>
      <c r="E71" s="23"/>
      <c r="F71" s="23"/>
      <c r="G71" s="23"/>
      <c r="H71" s="23"/>
      <c r="I71" s="19"/>
    </row>
    <row r="72" spans="2:9" x14ac:dyDescent="0.25">
      <c r="B72" s="142"/>
      <c r="C72" s="153"/>
      <c r="D72" s="23"/>
      <c r="E72" s="23"/>
      <c r="F72" s="23"/>
      <c r="G72" s="23"/>
      <c r="H72" s="23"/>
      <c r="I72" s="19"/>
    </row>
    <row r="73" spans="2:9" x14ac:dyDescent="0.25">
      <c r="B73" s="142"/>
      <c r="C73" s="153"/>
      <c r="D73" s="23"/>
      <c r="E73" s="23"/>
      <c r="F73" s="23"/>
      <c r="G73" s="23"/>
      <c r="H73" s="23"/>
      <c r="I73" s="19"/>
    </row>
    <row r="74" spans="2:9" ht="13" x14ac:dyDescent="0.3">
      <c r="B74" s="19"/>
      <c r="C74" s="10"/>
      <c r="D74" s="11"/>
      <c r="E74" s="11"/>
      <c r="F74" s="11"/>
      <c r="G74" s="11"/>
      <c r="H74" s="11"/>
      <c r="I74" s="19"/>
    </row>
    <row r="75" spans="2:9" ht="13" x14ac:dyDescent="0.3">
      <c r="B75" s="19"/>
      <c r="C75" s="10"/>
      <c r="D75" s="10"/>
      <c r="E75" s="10"/>
      <c r="F75" s="10"/>
      <c r="G75" s="10"/>
      <c r="H75" s="10"/>
      <c r="I75" s="19"/>
    </row>
    <row r="76" spans="2:9" ht="13" x14ac:dyDescent="0.3">
      <c r="B76" s="19"/>
      <c r="C76" s="10"/>
      <c r="D76" s="10"/>
      <c r="E76" s="10"/>
      <c r="F76" s="10"/>
      <c r="G76" s="10"/>
      <c r="H76" s="10"/>
      <c r="I76" s="19"/>
    </row>
    <row r="77" spans="2:9" x14ac:dyDescent="0.25">
      <c r="B77" s="19"/>
      <c r="C77" s="19"/>
      <c r="D77" s="19"/>
      <c r="E77" s="19"/>
      <c r="F77" s="19"/>
      <c r="G77" s="19"/>
      <c r="H77" s="19"/>
      <c r="I77" s="19"/>
    </row>
    <row r="78" spans="2:9" x14ac:dyDescent="0.25">
      <c r="B78" s="19"/>
      <c r="C78" s="19"/>
      <c r="D78" s="19"/>
      <c r="E78" s="19"/>
      <c r="F78" s="19"/>
      <c r="G78" s="19"/>
      <c r="H78" s="19"/>
      <c r="I78" s="19"/>
    </row>
    <row r="79" spans="2:9" ht="13" x14ac:dyDescent="0.3">
      <c r="B79" s="30"/>
      <c r="C79" s="19"/>
      <c r="D79" s="19"/>
      <c r="E79" s="19"/>
      <c r="F79" s="19"/>
      <c r="G79" s="19"/>
      <c r="H79" s="19"/>
      <c r="I79" s="19"/>
    </row>
    <row r="80" spans="2:9" x14ac:dyDescent="0.25">
      <c r="B80" s="19"/>
      <c r="C80" s="19"/>
      <c r="D80" s="19"/>
      <c r="E80" s="19"/>
      <c r="F80" s="19"/>
      <c r="G80" s="19"/>
      <c r="H80" s="19"/>
      <c r="I80" s="19"/>
    </row>
    <row r="81" spans="2:9" ht="13" x14ac:dyDescent="0.3">
      <c r="B81" s="10"/>
      <c r="C81" s="21"/>
      <c r="D81" s="20"/>
      <c r="E81" s="20"/>
      <c r="F81" s="20"/>
      <c r="G81" s="20"/>
      <c r="H81" s="20"/>
      <c r="I81" s="19"/>
    </row>
    <row r="82" spans="2:9" ht="13" x14ac:dyDescent="0.3">
      <c r="B82" s="10"/>
      <c r="C82" s="151"/>
      <c r="D82" s="152"/>
      <c r="E82" s="152"/>
      <c r="F82" s="152"/>
      <c r="G82" s="152"/>
      <c r="H82" s="152"/>
      <c r="I82" s="19"/>
    </row>
    <row r="83" spans="2:9" x14ac:dyDescent="0.25">
      <c r="B83" s="19"/>
      <c r="C83" s="141"/>
      <c r="D83" s="26"/>
      <c r="E83" s="26"/>
      <c r="F83" s="26"/>
      <c r="G83" s="26"/>
      <c r="H83" s="26"/>
      <c r="I83" s="19"/>
    </row>
    <row r="84" spans="2:9" x14ac:dyDescent="0.25">
      <c r="B84" s="142"/>
      <c r="C84" s="153"/>
      <c r="D84" s="26"/>
      <c r="E84" s="26"/>
      <c r="F84" s="26"/>
      <c r="G84" s="26"/>
      <c r="H84" s="26"/>
      <c r="I84" s="19"/>
    </row>
    <row r="85" spans="2:9" x14ac:dyDescent="0.25">
      <c r="B85" s="142"/>
      <c r="C85" s="153"/>
      <c r="D85" s="26"/>
      <c r="E85" s="26"/>
      <c r="F85" s="26"/>
      <c r="G85" s="26"/>
      <c r="H85" s="26"/>
      <c r="I85" s="19"/>
    </row>
    <row r="86" spans="2:9" x14ac:dyDescent="0.25">
      <c r="B86" s="142"/>
      <c r="C86" s="153"/>
      <c r="D86" s="26"/>
      <c r="E86" s="26"/>
      <c r="F86" s="26"/>
      <c r="G86" s="26"/>
      <c r="H86" s="26"/>
      <c r="I86" s="19"/>
    </row>
    <row r="87" spans="2:9" x14ac:dyDescent="0.25">
      <c r="B87" s="142"/>
      <c r="C87" s="153"/>
      <c r="D87" s="26"/>
      <c r="E87" s="26"/>
      <c r="F87" s="26"/>
      <c r="G87" s="26"/>
      <c r="H87" s="26"/>
      <c r="I87" s="19"/>
    </row>
    <row r="88" spans="2:9" x14ac:dyDescent="0.25">
      <c r="B88" s="142"/>
      <c r="C88" s="153"/>
      <c r="D88" s="26"/>
      <c r="E88" s="26"/>
      <c r="F88" s="26"/>
      <c r="G88" s="26"/>
      <c r="H88" s="26"/>
      <c r="I88" s="19"/>
    </row>
    <row r="89" spans="2:9" x14ac:dyDescent="0.25">
      <c r="B89" s="142"/>
      <c r="C89" s="153"/>
      <c r="D89" s="26"/>
      <c r="E89" s="26"/>
      <c r="F89" s="26"/>
      <c r="G89" s="26"/>
      <c r="H89" s="26"/>
      <c r="I89" s="19"/>
    </row>
    <row r="90" spans="2:9" x14ac:dyDescent="0.25">
      <c r="B90" s="142"/>
      <c r="C90" s="153"/>
      <c r="D90" s="26"/>
      <c r="E90" s="26"/>
      <c r="F90" s="26"/>
      <c r="G90" s="26"/>
      <c r="H90" s="26"/>
      <c r="I90" s="19"/>
    </row>
    <row r="91" spans="2:9" x14ac:dyDescent="0.25">
      <c r="B91" s="142"/>
      <c r="C91" s="153"/>
      <c r="D91" s="26"/>
      <c r="E91" s="26"/>
      <c r="F91" s="26"/>
      <c r="G91" s="26"/>
      <c r="H91" s="26"/>
      <c r="I91" s="19"/>
    </row>
    <row r="92" spans="2:9" x14ac:dyDescent="0.25">
      <c r="B92" s="142"/>
      <c r="C92" s="153"/>
      <c r="D92" s="26"/>
      <c r="E92" s="26"/>
      <c r="F92" s="26"/>
      <c r="G92" s="26"/>
      <c r="H92" s="26"/>
      <c r="I92" s="19"/>
    </row>
    <row r="93" spans="2:9" x14ac:dyDescent="0.25">
      <c r="B93" s="142"/>
      <c r="C93" s="153"/>
      <c r="D93" s="26"/>
      <c r="E93" s="26"/>
      <c r="F93" s="26"/>
      <c r="G93" s="26"/>
      <c r="H93" s="26"/>
      <c r="I93" s="19"/>
    </row>
    <row r="94" spans="2:9" ht="13" x14ac:dyDescent="0.3">
      <c r="B94" s="19"/>
      <c r="C94" s="10"/>
      <c r="D94" s="12"/>
      <c r="E94" s="12"/>
      <c r="F94" s="12"/>
      <c r="G94" s="12"/>
      <c r="H94" s="12"/>
      <c r="I94" s="19"/>
    </row>
    <row r="95" spans="2:9" ht="13" x14ac:dyDescent="0.3">
      <c r="B95" s="19"/>
      <c r="C95" s="10"/>
      <c r="D95" s="13"/>
      <c r="E95" s="13"/>
      <c r="F95" s="13"/>
      <c r="G95" s="13"/>
      <c r="H95" s="13"/>
      <c r="I95" s="19"/>
    </row>
    <row r="96" spans="2:9" ht="13" x14ac:dyDescent="0.3">
      <c r="B96" s="19"/>
      <c r="C96" s="10"/>
      <c r="D96" s="13"/>
      <c r="E96" s="13"/>
      <c r="F96" s="13"/>
      <c r="G96" s="13"/>
      <c r="H96" s="13"/>
      <c r="I96" s="19"/>
    </row>
    <row r="97" spans="2:9" x14ac:dyDescent="0.25">
      <c r="B97" s="19"/>
      <c r="C97" s="19"/>
      <c r="D97" s="19"/>
      <c r="E97" s="19"/>
      <c r="F97" s="19"/>
      <c r="G97" s="19"/>
      <c r="H97" s="19"/>
      <c r="I97" s="19"/>
    </row>
    <row r="98" spans="2:9" x14ac:dyDescent="0.25">
      <c r="B98" s="19"/>
      <c r="C98" s="19"/>
      <c r="D98" s="19"/>
      <c r="E98" s="19"/>
      <c r="F98" s="19"/>
      <c r="G98" s="19"/>
      <c r="H98" s="19"/>
      <c r="I98" s="19"/>
    </row>
    <row r="99" spans="2:9" x14ac:dyDescent="0.25">
      <c r="B99" s="19"/>
      <c r="C99" s="19"/>
      <c r="D99" s="19"/>
      <c r="E99" s="19"/>
      <c r="F99" s="19"/>
      <c r="G99" s="19"/>
      <c r="H99" s="19"/>
      <c r="I99" s="19"/>
    </row>
    <row r="100" spans="2:9" x14ac:dyDescent="0.25">
      <c r="B100" s="19"/>
      <c r="C100" s="19"/>
      <c r="D100" s="19"/>
      <c r="E100" s="19"/>
      <c r="F100" s="19"/>
      <c r="G100" s="19"/>
      <c r="H100" s="19"/>
      <c r="I100" s="19"/>
    </row>
    <row r="101" spans="2:9" x14ac:dyDescent="0.25">
      <c r="B101" s="19"/>
      <c r="C101" s="19"/>
      <c r="D101" s="19"/>
      <c r="E101" s="19"/>
      <c r="F101" s="19"/>
      <c r="G101" s="19"/>
      <c r="H101" s="19"/>
      <c r="I101" s="19"/>
    </row>
    <row r="102" spans="2:9" x14ac:dyDescent="0.25">
      <c r="B102" s="19"/>
      <c r="C102" s="19"/>
      <c r="D102" s="19"/>
      <c r="E102" s="19"/>
      <c r="F102" s="19"/>
      <c r="G102" s="19"/>
      <c r="H102" s="19"/>
      <c r="I102" s="19"/>
    </row>
    <row r="103" spans="2:9" x14ac:dyDescent="0.25">
      <c r="B103" s="19"/>
      <c r="C103" s="19"/>
      <c r="D103" s="19"/>
      <c r="E103" s="19"/>
      <c r="F103" s="19"/>
      <c r="G103" s="19"/>
      <c r="H103" s="19"/>
      <c r="I103" s="19"/>
    </row>
    <row r="104" spans="2:9" x14ac:dyDescent="0.25">
      <c r="B104" s="19"/>
      <c r="C104" s="19"/>
      <c r="D104" s="19"/>
      <c r="E104" s="19"/>
      <c r="F104" s="19"/>
      <c r="G104" s="19"/>
      <c r="H104" s="19"/>
      <c r="I104" s="19"/>
    </row>
    <row r="105" spans="2:9" x14ac:dyDescent="0.25">
      <c r="B105" s="19"/>
      <c r="C105" s="19"/>
      <c r="D105" s="19"/>
      <c r="E105" s="19"/>
      <c r="F105" s="19"/>
      <c r="G105" s="19"/>
      <c r="H105" s="19"/>
      <c r="I105" s="19"/>
    </row>
    <row r="106" spans="2:9" x14ac:dyDescent="0.25">
      <c r="B106" s="19"/>
      <c r="C106" s="19"/>
      <c r="D106" s="19"/>
      <c r="E106" s="19"/>
      <c r="F106" s="19"/>
      <c r="G106" s="19"/>
      <c r="H106" s="19"/>
      <c r="I106" s="19"/>
    </row>
    <row r="107" spans="2:9" x14ac:dyDescent="0.25">
      <c r="B107" s="19"/>
      <c r="C107" s="19"/>
      <c r="D107" s="19"/>
      <c r="E107" s="19"/>
      <c r="F107" s="19"/>
      <c r="G107" s="19"/>
      <c r="H107" s="19"/>
      <c r="I107" s="19"/>
    </row>
    <row r="108" spans="2:9" x14ac:dyDescent="0.25">
      <c r="B108" s="19"/>
      <c r="C108" s="19"/>
      <c r="D108" s="19"/>
      <c r="E108" s="19"/>
      <c r="F108" s="19"/>
      <c r="G108" s="19"/>
      <c r="H108" s="19"/>
      <c r="I108" s="19"/>
    </row>
    <row r="109" spans="2:9" x14ac:dyDescent="0.25">
      <c r="B109" s="19"/>
      <c r="C109" s="19"/>
      <c r="D109" s="19"/>
      <c r="E109" s="19"/>
      <c r="F109" s="19"/>
      <c r="G109" s="19"/>
      <c r="H109" s="19"/>
      <c r="I109" s="19"/>
    </row>
    <row r="110" spans="2:9" x14ac:dyDescent="0.25">
      <c r="B110" s="19"/>
      <c r="C110" s="19"/>
      <c r="D110" s="19"/>
      <c r="E110" s="19"/>
      <c r="F110" s="19"/>
      <c r="G110" s="19"/>
      <c r="H110" s="19"/>
      <c r="I110" s="19"/>
    </row>
    <row r="111" spans="2:9" x14ac:dyDescent="0.25">
      <c r="B111" s="19"/>
      <c r="C111" s="19"/>
      <c r="D111" s="19"/>
      <c r="E111" s="19"/>
      <c r="F111" s="19"/>
      <c r="G111" s="19"/>
      <c r="H111" s="19"/>
      <c r="I111" s="19"/>
    </row>
    <row r="112" spans="2:9" x14ac:dyDescent="0.25">
      <c r="B112" s="19"/>
      <c r="C112" s="19"/>
      <c r="D112" s="19"/>
      <c r="E112" s="19"/>
      <c r="F112" s="19"/>
      <c r="G112" s="19"/>
      <c r="H112" s="19"/>
      <c r="I112" s="19"/>
    </row>
    <row r="113" spans="2:9" x14ac:dyDescent="0.25">
      <c r="B113" s="19"/>
      <c r="C113" s="19"/>
      <c r="D113" s="19"/>
      <c r="E113" s="19"/>
      <c r="F113" s="19"/>
      <c r="G113" s="19"/>
      <c r="H113" s="19"/>
      <c r="I113" s="19"/>
    </row>
    <row r="114" spans="2:9" x14ac:dyDescent="0.25">
      <c r="B114" s="19"/>
      <c r="C114" s="19"/>
      <c r="D114" s="19"/>
      <c r="E114" s="19"/>
      <c r="F114" s="19"/>
      <c r="G114" s="19"/>
      <c r="H114" s="19"/>
      <c r="I114" s="19"/>
    </row>
    <row r="115" spans="2:9" x14ac:dyDescent="0.25">
      <c r="B115" s="19"/>
      <c r="C115" s="19"/>
      <c r="D115" s="19"/>
      <c r="E115" s="19"/>
      <c r="F115" s="19"/>
      <c r="G115" s="19"/>
      <c r="H115" s="19"/>
      <c r="I115" s="19"/>
    </row>
    <row r="116" spans="2:9" x14ac:dyDescent="0.25">
      <c r="B116" s="19"/>
      <c r="C116" s="19"/>
      <c r="D116" s="19"/>
      <c r="E116" s="19"/>
      <c r="F116" s="19"/>
      <c r="G116" s="19"/>
      <c r="H116" s="19"/>
      <c r="I116" s="19"/>
    </row>
    <row r="117" spans="2:9" x14ac:dyDescent="0.25">
      <c r="B117" s="19"/>
      <c r="C117" s="19"/>
      <c r="D117" s="19"/>
      <c r="E117" s="19"/>
      <c r="F117" s="19"/>
      <c r="G117" s="19"/>
      <c r="H117" s="19"/>
      <c r="I117" s="19"/>
    </row>
    <row r="118" spans="2:9" x14ac:dyDescent="0.25">
      <c r="B118" s="19"/>
      <c r="C118" s="19"/>
      <c r="D118" s="19"/>
      <c r="E118" s="19"/>
      <c r="F118" s="19"/>
      <c r="G118" s="19"/>
      <c r="H118" s="19"/>
      <c r="I118" s="19"/>
    </row>
    <row r="119" spans="2:9" x14ac:dyDescent="0.25">
      <c r="B119" s="19"/>
      <c r="C119" s="19"/>
      <c r="D119" s="19"/>
      <c r="E119" s="19"/>
      <c r="F119" s="19"/>
      <c r="G119" s="19"/>
      <c r="H119" s="19"/>
      <c r="I119" s="19"/>
    </row>
    <row r="120" spans="2:9" x14ac:dyDescent="0.25">
      <c r="B120" s="19"/>
      <c r="C120" s="19"/>
      <c r="D120" s="19"/>
      <c r="E120" s="19"/>
      <c r="F120" s="19"/>
      <c r="G120" s="19"/>
      <c r="H120" s="19"/>
      <c r="I120" s="19"/>
    </row>
    <row r="121" spans="2:9" x14ac:dyDescent="0.25">
      <c r="B121" s="19"/>
      <c r="C121" s="19"/>
      <c r="D121" s="19"/>
      <c r="E121" s="19"/>
      <c r="F121" s="19"/>
      <c r="G121" s="19"/>
      <c r="H121" s="19"/>
      <c r="I121" s="19"/>
    </row>
    <row r="122" spans="2:9" x14ac:dyDescent="0.25">
      <c r="B122" s="19"/>
      <c r="C122" s="19"/>
      <c r="D122" s="19"/>
      <c r="E122" s="19"/>
      <c r="F122" s="19"/>
      <c r="G122" s="19"/>
      <c r="H122" s="19"/>
      <c r="I122" s="19"/>
    </row>
    <row r="123" spans="2:9" x14ac:dyDescent="0.25">
      <c r="B123" s="19"/>
      <c r="C123" s="19"/>
      <c r="D123" s="19"/>
      <c r="E123" s="19"/>
      <c r="F123" s="19"/>
      <c r="G123" s="19"/>
      <c r="H123" s="19"/>
      <c r="I123" s="19"/>
    </row>
    <row r="124" spans="2:9" x14ac:dyDescent="0.25">
      <c r="B124" s="19"/>
      <c r="C124" s="19"/>
      <c r="D124" s="19"/>
      <c r="E124" s="19"/>
      <c r="F124" s="19"/>
      <c r="G124" s="19"/>
      <c r="H124" s="19"/>
      <c r="I124" s="19"/>
    </row>
    <row r="125" spans="2:9" x14ac:dyDescent="0.25">
      <c r="B125" s="19"/>
      <c r="C125" s="19"/>
      <c r="D125" s="19"/>
      <c r="E125" s="19"/>
      <c r="F125" s="19"/>
      <c r="G125" s="19"/>
      <c r="H125" s="19"/>
      <c r="I125" s="19"/>
    </row>
    <row r="126" spans="2:9" x14ac:dyDescent="0.25">
      <c r="B126" s="19"/>
      <c r="C126" s="19"/>
      <c r="D126" s="19"/>
      <c r="E126" s="19"/>
      <c r="F126" s="19"/>
      <c r="G126" s="19"/>
      <c r="H126" s="19"/>
      <c r="I126" s="19"/>
    </row>
    <row r="127" spans="2:9" x14ac:dyDescent="0.25">
      <c r="B127" s="19"/>
      <c r="C127" s="19"/>
      <c r="D127" s="19"/>
      <c r="E127" s="19"/>
      <c r="F127" s="19"/>
      <c r="G127" s="19"/>
      <c r="H127" s="19"/>
      <c r="I127" s="19"/>
    </row>
    <row r="128" spans="2:9" x14ac:dyDescent="0.25">
      <c r="B128" s="19"/>
      <c r="C128" s="19"/>
      <c r="D128" s="19"/>
      <c r="E128" s="19"/>
      <c r="F128" s="19"/>
      <c r="G128" s="19"/>
      <c r="H128" s="19"/>
      <c r="I128" s="19"/>
    </row>
  </sheetData>
  <mergeCells count="2">
    <mergeCell ref="H55:H56"/>
    <mergeCell ref="B2:G2"/>
  </mergeCells>
  <phoneticPr fontId="5" type="noConversion"/>
  <printOptions horizontalCentered="1"/>
  <pageMargins left="0.7" right="0.7" top="0.75" bottom="0.75" header="0.3" footer="0.3"/>
  <pageSetup orientation="landscape" r:id="rId1"/>
  <headerFooter alignWithMargins="0">
    <oddFooter>&amp;L&amp;"Arial,Bold"&amp;F&amp;C&amp;"Arial,Bold"&amp;D &amp;R&amp;"Arial,Bold"Appendix C-17</oddFooter>
  </headerFooter>
  <rowBreaks count="1" manualBreakCount="1">
    <brk id="31"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B1:E21"/>
  <sheetViews>
    <sheetView zoomScale="120" zoomScaleNormal="120" workbookViewId="0">
      <selection activeCell="E25" sqref="E25"/>
    </sheetView>
  </sheetViews>
  <sheetFormatPr defaultColWidth="9.1796875" defaultRowHeight="15" customHeight="1" x14ac:dyDescent="0.25"/>
  <cols>
    <col min="1" max="1" width="3.7265625" style="15" customWidth="1"/>
    <col min="2" max="3" width="20.7265625" style="15" customWidth="1"/>
    <col min="4" max="4" width="25.7265625" style="15" customWidth="1"/>
    <col min="5" max="5" width="24.26953125" style="15" customWidth="1"/>
    <col min="6" max="6" width="3.7265625" style="15" customWidth="1"/>
    <col min="7" max="16384" width="9.1796875" style="15"/>
  </cols>
  <sheetData>
    <row r="1" spans="2:5" ht="15" customHeight="1" thickBot="1" x14ac:dyDescent="0.3"/>
    <row r="2" spans="2:5" s="6" customFormat="1" ht="20.149999999999999" customHeight="1" thickTop="1" thickBot="1" x14ac:dyDescent="0.4">
      <c r="B2" s="17" t="s">
        <v>105</v>
      </c>
      <c r="C2" s="159"/>
      <c r="D2" s="159"/>
      <c r="E2" s="334" t="str">
        <f>E11</f>
        <v>FY'23</v>
      </c>
    </row>
    <row r="3" spans="2:5" s="160" customFormat="1" ht="20.149999999999999" customHeight="1" thickTop="1" thickBot="1" x14ac:dyDescent="0.4">
      <c r="B3" s="161"/>
      <c r="C3" s="162"/>
      <c r="D3" s="162"/>
      <c r="E3" s="98"/>
    </row>
    <row r="4" spans="2:5" ht="15" customHeight="1" thickBot="1" x14ac:dyDescent="0.35">
      <c r="B4" s="533" t="s">
        <v>75</v>
      </c>
      <c r="C4" s="534"/>
      <c r="D4" s="535"/>
      <c r="E4" s="139" t="s">
        <v>57</v>
      </c>
    </row>
    <row r="5" spans="2:5" ht="15" customHeight="1" x14ac:dyDescent="0.25">
      <c r="B5" s="32" t="s">
        <v>310</v>
      </c>
      <c r="C5" s="31"/>
      <c r="D5" s="33"/>
      <c r="E5" s="163">
        <v>21.48</v>
      </c>
    </row>
    <row r="6" spans="2:5" ht="15" customHeight="1" x14ac:dyDescent="0.25">
      <c r="B6" s="32" t="s">
        <v>311</v>
      </c>
      <c r="C6" s="31"/>
      <c r="D6" s="33"/>
      <c r="E6" s="164">
        <v>22.46</v>
      </c>
    </row>
    <row r="7" spans="2:5" ht="15" customHeight="1" x14ac:dyDescent="0.25">
      <c r="B7" s="32" t="s">
        <v>79</v>
      </c>
      <c r="C7" s="31"/>
      <c r="D7" s="33"/>
      <c r="E7" s="164">
        <v>10</v>
      </c>
    </row>
    <row r="8" spans="2:5" ht="15" customHeight="1" x14ac:dyDescent="0.25">
      <c r="B8" s="32" t="s">
        <v>312</v>
      </c>
      <c r="C8" s="31"/>
      <c r="D8" s="33"/>
      <c r="E8" s="164">
        <v>10</v>
      </c>
    </row>
    <row r="9" spans="2:5" ht="15" customHeight="1" thickBot="1" x14ac:dyDescent="0.3">
      <c r="B9" s="155" t="s">
        <v>313</v>
      </c>
      <c r="C9" s="35"/>
      <c r="D9" s="36"/>
      <c r="E9" s="165">
        <v>12</v>
      </c>
    </row>
    <row r="10" spans="2:5" ht="15" customHeight="1" thickBot="1" x14ac:dyDescent="0.3"/>
    <row r="11" spans="2:5" s="6" customFormat="1" ht="20.149999999999999" customHeight="1" thickBot="1" x14ac:dyDescent="0.4">
      <c r="B11" s="536" t="s">
        <v>106</v>
      </c>
      <c r="C11" s="537"/>
      <c r="D11" s="537"/>
      <c r="E11" s="270" t="str">
        <f>ACCUM!A3</f>
        <v>FY'23</v>
      </c>
    </row>
    <row r="12" spans="2:5" ht="15" customHeight="1" thickBot="1" x14ac:dyDescent="0.3"/>
    <row r="13" spans="2:5" ht="15" customHeight="1" thickBot="1" x14ac:dyDescent="0.35">
      <c r="B13" s="167" t="s">
        <v>52</v>
      </c>
      <c r="C13" s="101" t="s">
        <v>5</v>
      </c>
      <c r="D13" s="123" t="s">
        <v>32</v>
      </c>
      <c r="E13" s="101" t="s">
        <v>7</v>
      </c>
    </row>
    <row r="14" spans="2:5" ht="15" customHeight="1" x14ac:dyDescent="0.25">
      <c r="B14" s="157" t="s">
        <v>314</v>
      </c>
      <c r="C14" s="119">
        <v>126</v>
      </c>
      <c r="D14" s="112">
        <v>132</v>
      </c>
      <c r="E14" s="119">
        <v>136</v>
      </c>
    </row>
    <row r="15" spans="2:5" ht="15" customHeight="1" x14ac:dyDescent="0.25">
      <c r="B15" s="157" t="s">
        <v>315</v>
      </c>
      <c r="C15" s="119">
        <v>116</v>
      </c>
      <c r="D15" s="112">
        <v>122</v>
      </c>
      <c r="E15" s="119">
        <v>126</v>
      </c>
    </row>
    <row r="16" spans="2:5" ht="15" customHeight="1" x14ac:dyDescent="0.25">
      <c r="B16" s="157" t="s">
        <v>284</v>
      </c>
      <c r="C16" s="119">
        <v>108</v>
      </c>
      <c r="D16" s="112">
        <v>113</v>
      </c>
      <c r="E16" s="119">
        <v>116</v>
      </c>
    </row>
    <row r="17" spans="2:5" ht="15" customHeight="1" x14ac:dyDescent="0.25">
      <c r="B17" s="157" t="s">
        <v>316</v>
      </c>
      <c r="C17" s="119">
        <v>98</v>
      </c>
      <c r="D17" s="112">
        <v>103</v>
      </c>
      <c r="E17" s="119">
        <v>108</v>
      </c>
    </row>
    <row r="18" spans="2:5" ht="15" customHeight="1" thickBot="1" x14ac:dyDescent="0.3">
      <c r="B18" s="158" t="s">
        <v>73</v>
      </c>
      <c r="C18" s="120">
        <v>90</v>
      </c>
      <c r="D18" s="126">
        <v>95</v>
      </c>
      <c r="E18" s="120">
        <v>98</v>
      </c>
    </row>
    <row r="19" spans="2:5" ht="15" customHeight="1" x14ac:dyDescent="0.25">
      <c r="C19" s="16"/>
      <c r="D19" s="16"/>
      <c r="E19" s="16"/>
    </row>
    <row r="20" spans="2:5" ht="15" customHeight="1" x14ac:dyDescent="0.3">
      <c r="B20" s="2" t="s">
        <v>309</v>
      </c>
      <c r="C20" s="16"/>
      <c r="D20" s="16"/>
      <c r="E20" s="16"/>
    </row>
    <row r="21" spans="2:5" ht="15" customHeight="1" x14ac:dyDescent="0.25">
      <c r="B21" s="15" t="s">
        <v>239</v>
      </c>
      <c r="D21" s="288">
        <v>10</v>
      </c>
      <c r="E21" s="287" t="s">
        <v>243</v>
      </c>
    </row>
  </sheetData>
  <mergeCells count="2">
    <mergeCell ref="B4:D4"/>
    <mergeCell ref="B11:D11"/>
  </mergeCells>
  <phoneticPr fontId="5" type="noConversion"/>
  <printOptions horizontalCentered="1"/>
  <pageMargins left="0.7" right="0.7" top="0.75" bottom="0.75" header="0.3" footer="0.3"/>
  <pageSetup orientation="landscape" r:id="rId1"/>
  <headerFooter alignWithMargins="0">
    <oddFooter>&amp;L&amp;"Arial,Bold"&amp;F&amp;C&amp;"Arial,Bold"&amp;D &amp;R&amp;"Arial,Bold"Appendix C-18</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6F701-F461-484D-93A8-DFF039360DA2}">
  <sheetPr codeName="Sheet40">
    <pageSetUpPr fitToPage="1"/>
  </sheetPr>
  <dimension ref="A2:AP38"/>
  <sheetViews>
    <sheetView showGridLines="0" view="pageLayout" topLeftCell="A4" zoomScaleNormal="120" workbookViewId="0">
      <selection activeCell="A9" sqref="A9"/>
    </sheetView>
  </sheetViews>
  <sheetFormatPr defaultColWidth="10.7265625" defaultRowHeight="12.5" x14ac:dyDescent="0.25"/>
  <cols>
    <col min="1" max="1" width="23.1796875" style="486" customWidth="1"/>
    <col min="2" max="3" width="7.54296875" style="473" customWidth="1"/>
    <col min="4" max="4" width="9" style="487" customWidth="1"/>
    <col min="5" max="5" width="11.1796875" style="488" customWidth="1"/>
    <col min="6" max="6" width="11.1796875" style="471" customWidth="1"/>
    <col min="7" max="7" width="11.26953125" style="471" customWidth="1"/>
    <col min="8" max="8" width="11.1796875" style="471" customWidth="1"/>
    <col min="9" max="9" width="10.54296875" style="471" customWidth="1"/>
    <col min="10" max="11" width="10.453125" style="471" customWidth="1"/>
    <col min="12" max="12" width="11.1796875" style="471" customWidth="1"/>
    <col min="13" max="13" width="11.54296875" style="471" customWidth="1"/>
    <col min="14" max="14" width="11.7265625" style="471" customWidth="1"/>
    <col min="15" max="15" width="11.453125" style="471" customWidth="1"/>
    <col min="16" max="16" width="10.7265625" style="471" customWidth="1"/>
    <col min="17" max="17" width="11.81640625" style="471" customWidth="1"/>
    <col min="18" max="18" width="10.7265625" style="471" customWidth="1"/>
    <col min="19" max="19" width="12" style="471" customWidth="1"/>
    <col min="20" max="20" width="10.81640625" style="471" customWidth="1"/>
    <col min="21" max="21" width="10.1796875" style="471" customWidth="1"/>
    <col min="22" max="22" width="10.453125" style="471" customWidth="1"/>
    <col min="23" max="23" width="10.54296875" style="471" customWidth="1"/>
    <col min="24" max="26" width="8.7265625" style="471" customWidth="1"/>
    <col min="27" max="27" width="9.26953125" style="471" customWidth="1"/>
    <col min="28" max="29" width="8.7265625" style="471" customWidth="1"/>
    <col min="30" max="33" width="9.1796875" style="471" customWidth="1"/>
    <col min="34" max="35" width="8.54296875" style="471" customWidth="1"/>
    <col min="36" max="37" width="8.81640625" style="471" customWidth="1"/>
    <col min="38" max="38" width="8.54296875" style="471" customWidth="1"/>
    <col min="39" max="39" width="9" style="471" customWidth="1"/>
    <col min="40" max="40" width="8.453125" style="471" customWidth="1"/>
    <col min="41" max="16384" width="10.7265625" style="471"/>
  </cols>
  <sheetData>
    <row r="2" spans="1:42" s="469" customFormat="1" ht="16" thickBot="1" x14ac:dyDescent="0.4">
      <c r="A2" s="465"/>
      <c r="B2" s="466"/>
      <c r="C2" s="466"/>
      <c r="D2" s="467"/>
      <c r="E2" s="468"/>
    </row>
    <row r="3" spans="1:42" ht="29.5" thickBot="1" x14ac:dyDescent="0.3">
      <c r="A3" s="495" t="s">
        <v>342</v>
      </c>
      <c r="B3" s="496" t="s">
        <v>318</v>
      </c>
      <c r="C3" s="496" t="s">
        <v>343</v>
      </c>
      <c r="D3" s="497" t="s">
        <v>344</v>
      </c>
      <c r="E3" s="470"/>
      <c r="F3" s="538" t="s">
        <v>317</v>
      </c>
      <c r="G3" s="539"/>
      <c r="H3" s="539"/>
      <c r="I3" s="539"/>
      <c r="J3" s="539"/>
      <c r="K3" s="539"/>
      <c r="L3" s="539"/>
      <c r="M3" s="539"/>
      <c r="N3" s="539"/>
      <c r="O3" s="539"/>
      <c r="P3" s="539"/>
      <c r="Q3" s="539"/>
      <c r="R3" s="539"/>
      <c r="S3" s="539"/>
      <c r="T3" s="539"/>
      <c r="U3" s="539"/>
      <c r="V3" s="539"/>
      <c r="W3" s="539"/>
      <c r="X3" s="539"/>
      <c r="Y3" s="539"/>
      <c r="Z3" s="539"/>
      <c r="AA3" s="540"/>
    </row>
    <row r="4" spans="1:42" s="477" customFormat="1" ht="25.15" customHeight="1" thickBot="1" x14ac:dyDescent="0.3">
      <c r="A4" s="489"/>
      <c r="B4" s="490">
        <v>1</v>
      </c>
      <c r="C4" s="490">
        <v>261</v>
      </c>
      <c r="D4" s="491">
        <v>8</v>
      </c>
      <c r="E4" s="472"/>
      <c r="F4" s="473"/>
      <c r="G4" s="471"/>
      <c r="H4" s="471" t="s">
        <v>0</v>
      </c>
      <c r="I4" s="471" t="s">
        <v>0</v>
      </c>
      <c r="J4" s="471" t="s">
        <v>0</v>
      </c>
      <c r="K4" s="471" t="s">
        <v>0</v>
      </c>
      <c r="L4" s="471" t="s">
        <v>0</v>
      </c>
      <c r="M4" s="471" t="s">
        <v>0</v>
      </c>
      <c r="N4" s="471" t="s">
        <v>0</v>
      </c>
      <c r="O4" s="471" t="s">
        <v>0</v>
      </c>
      <c r="P4" s="471" t="s">
        <v>0</v>
      </c>
      <c r="Q4" s="471" t="s">
        <v>0</v>
      </c>
      <c r="R4" s="471" t="s">
        <v>0</v>
      </c>
      <c r="S4" s="471" t="s">
        <v>0</v>
      </c>
      <c r="T4" s="471" t="s">
        <v>0</v>
      </c>
      <c r="U4" s="471" t="s">
        <v>0</v>
      </c>
      <c r="V4" s="471" t="s">
        <v>0</v>
      </c>
      <c r="W4" s="471" t="s">
        <v>0</v>
      </c>
      <c r="X4" s="471" t="s">
        <v>0</v>
      </c>
      <c r="Y4" s="471" t="s">
        <v>0</v>
      </c>
      <c r="Z4" s="471" t="s">
        <v>0</v>
      </c>
      <c r="AA4" s="471" t="s">
        <v>0</v>
      </c>
      <c r="AB4" s="474"/>
      <c r="AC4" s="474"/>
      <c r="AD4" s="475"/>
      <c r="AE4" s="475"/>
      <c r="AF4" s="475"/>
      <c r="AG4" s="475"/>
      <c r="AH4" s="475"/>
      <c r="AI4" s="475"/>
      <c r="AJ4" s="475"/>
      <c r="AK4" s="475"/>
      <c r="AL4" s="475"/>
      <c r="AM4" s="475"/>
      <c r="AN4" s="475"/>
      <c r="AO4" s="476"/>
      <c r="AP4" s="476"/>
    </row>
    <row r="5" spans="1:42" ht="27" customHeight="1" thickBot="1" x14ac:dyDescent="0.3">
      <c r="A5" s="498"/>
      <c r="B5" s="499">
        <v>2</v>
      </c>
      <c r="C5" s="499">
        <v>261</v>
      </c>
      <c r="D5" s="500">
        <v>8</v>
      </c>
      <c r="E5" s="472"/>
      <c r="F5" s="478" t="s">
        <v>318</v>
      </c>
      <c r="G5" s="479" t="s">
        <v>319</v>
      </c>
      <c r="H5" s="479" t="s">
        <v>320</v>
      </c>
      <c r="I5" s="479" t="s">
        <v>321</v>
      </c>
      <c r="J5" s="479" t="s">
        <v>322</v>
      </c>
      <c r="K5" s="479" t="s">
        <v>323</v>
      </c>
      <c r="L5" s="479" t="s">
        <v>324</v>
      </c>
      <c r="M5" s="479" t="s">
        <v>325</v>
      </c>
      <c r="N5" s="479" t="s">
        <v>326</v>
      </c>
      <c r="O5" s="479" t="s">
        <v>327</v>
      </c>
      <c r="P5" s="479" t="s">
        <v>328</v>
      </c>
      <c r="Q5" s="479" t="s">
        <v>329</v>
      </c>
      <c r="R5" s="479" t="s">
        <v>330</v>
      </c>
      <c r="S5" s="479" t="s">
        <v>331</v>
      </c>
      <c r="T5" s="479" t="s">
        <v>332</v>
      </c>
      <c r="U5" s="479" t="s">
        <v>333</v>
      </c>
      <c r="V5" s="479" t="s">
        <v>334</v>
      </c>
      <c r="W5" s="479" t="s">
        <v>335</v>
      </c>
      <c r="X5" s="479" t="s">
        <v>336</v>
      </c>
      <c r="Y5" s="479" t="s">
        <v>337</v>
      </c>
      <c r="Z5" s="479" t="s">
        <v>338</v>
      </c>
      <c r="AA5" s="480" t="s">
        <v>339</v>
      </c>
      <c r="AB5" s="474"/>
      <c r="AC5" s="474"/>
      <c r="AD5" s="474"/>
      <c r="AE5" s="474"/>
      <c r="AF5" s="474"/>
      <c r="AG5" s="474"/>
      <c r="AH5" s="474"/>
      <c r="AI5" s="474"/>
      <c r="AJ5" s="474"/>
      <c r="AK5" s="474"/>
      <c r="AL5" s="474"/>
      <c r="AM5" s="474"/>
      <c r="AN5" s="474"/>
      <c r="AO5" s="481"/>
      <c r="AP5" s="481"/>
    </row>
    <row r="6" spans="1:42" ht="24.75" customHeight="1" x14ac:dyDescent="0.35">
      <c r="A6" s="492" t="s">
        <v>345</v>
      </c>
      <c r="B6" s="493">
        <v>3</v>
      </c>
      <c r="C6" s="493">
        <v>191</v>
      </c>
      <c r="D6" s="494">
        <v>7.5</v>
      </c>
      <c r="E6" s="472"/>
      <c r="F6" s="482">
        <v>1</v>
      </c>
      <c r="G6" s="456">
        <f>ACCUM!X186</f>
        <v>18645.84</v>
      </c>
      <c r="H6" s="457">
        <f>ACCUM!Y186</f>
        <v>19015.415999999997</v>
      </c>
      <c r="I6" s="457">
        <f>ACCUM!Z186</f>
        <v>19585.648800000003</v>
      </c>
      <c r="J6" s="457">
        <f>ACCUM!AA186</f>
        <v>19958.356800000001</v>
      </c>
      <c r="K6" s="457">
        <f>ACCUM!AB186</f>
        <v>20331.2736</v>
      </c>
      <c r="L6" s="457">
        <f>ACCUM!AC186</f>
        <v>20704.190400000003</v>
      </c>
      <c r="M6" s="457">
        <f>ACCUM!AD186</f>
        <v>21252.499199999998</v>
      </c>
      <c r="N6" s="457">
        <f>ACCUM!AE186</f>
        <v>21625.207200000001</v>
      </c>
      <c r="O6" s="457">
        <f>ACCUM!AF186</f>
        <v>21998.124</v>
      </c>
      <c r="P6" s="457">
        <f>ACCUM!AG186</f>
        <v>22568.356800000001</v>
      </c>
      <c r="Q6" s="457">
        <f>ACCUM!AH186</f>
        <v>22941.2736</v>
      </c>
      <c r="R6" s="457">
        <f>ACCUM!AI186</f>
        <v>23314.190400000003</v>
      </c>
      <c r="S6" s="457">
        <f>ACCUM!AJ186</f>
        <v>23862.499199999998</v>
      </c>
      <c r="T6" s="457">
        <f>ACCUM!AK186</f>
        <v>24235.207200000001</v>
      </c>
      <c r="U6" s="457">
        <f>ACCUM!AL186</f>
        <v>24608.124</v>
      </c>
      <c r="V6" s="457">
        <f>ACCUM!AM186</f>
        <v>24981.040799999999</v>
      </c>
      <c r="W6" s="457">
        <f>ACCUM!AN186</f>
        <v>25551.2736</v>
      </c>
      <c r="X6" s="457">
        <f>ACCUM!AO186</f>
        <v>25551.2736</v>
      </c>
      <c r="Y6" s="457">
        <f>ACCUM!AP186</f>
        <v>25551.2736</v>
      </c>
      <c r="Z6" s="457">
        <f>ACCUM!AQ186</f>
        <v>25551.2736</v>
      </c>
      <c r="AA6" s="458">
        <f>ACCUM!AR186</f>
        <v>25923.981599999999</v>
      </c>
      <c r="AB6" s="474"/>
      <c r="AC6" s="474"/>
      <c r="AD6" s="474"/>
      <c r="AE6" s="474"/>
      <c r="AF6" s="474"/>
      <c r="AG6" s="474"/>
      <c r="AH6" s="474"/>
      <c r="AI6" s="474"/>
      <c r="AJ6" s="474"/>
      <c r="AK6" s="474"/>
      <c r="AL6" s="474"/>
      <c r="AM6" s="474"/>
      <c r="AN6" s="474"/>
      <c r="AO6" s="481"/>
      <c r="AP6" s="481"/>
    </row>
    <row r="7" spans="1:42" ht="19.899999999999999" customHeight="1" x14ac:dyDescent="0.35">
      <c r="A7" s="498" t="s">
        <v>346</v>
      </c>
      <c r="B7" s="499">
        <v>4</v>
      </c>
      <c r="C7" s="499">
        <v>191</v>
      </c>
      <c r="D7" s="500">
        <v>7.5</v>
      </c>
      <c r="E7" s="472"/>
      <c r="F7" s="483">
        <v>2</v>
      </c>
      <c r="G7" s="459">
        <f>ACCUM!X187</f>
        <v>22371.040799999999</v>
      </c>
      <c r="H7" s="460">
        <f>ACCUM!Y187</f>
        <v>22809.729600000002</v>
      </c>
      <c r="I7" s="460">
        <f>ACCUM!Z187</f>
        <v>23489.582399999999</v>
      </c>
      <c r="J7" s="460">
        <f>ACCUM!AA187</f>
        <v>23928.271199999999</v>
      </c>
      <c r="K7" s="460">
        <f>ACCUM!AB187</f>
        <v>24388.675200000001</v>
      </c>
      <c r="L7" s="460">
        <f>ACCUM!AC187</f>
        <v>24827.363999999998</v>
      </c>
      <c r="M7" s="460">
        <f>ACCUM!AD187</f>
        <v>25507.425600000002</v>
      </c>
      <c r="N7" s="460">
        <f>ACCUM!AE187</f>
        <v>25945.905599999998</v>
      </c>
      <c r="O7" s="460">
        <f>ACCUM!AF187</f>
        <v>26406.518400000001</v>
      </c>
      <c r="P7" s="460">
        <f>ACCUM!AG187</f>
        <v>27064.447199999999</v>
      </c>
      <c r="Q7" s="460">
        <f>ACCUM!AH187</f>
        <v>27525.059999999998</v>
      </c>
      <c r="R7" s="460">
        <f>ACCUM!AI187</f>
        <v>27963.748800000001</v>
      </c>
      <c r="S7" s="460">
        <f>ACCUM!AJ187</f>
        <v>28643.601599999998</v>
      </c>
      <c r="T7" s="460">
        <f>ACCUM!AK187</f>
        <v>29082.290400000002</v>
      </c>
      <c r="U7" s="460">
        <f>ACCUM!AL187</f>
        <v>29520.979200000002</v>
      </c>
      <c r="V7" s="460">
        <f>ACCUM!AM187</f>
        <v>29981.592000000001</v>
      </c>
      <c r="W7" s="460">
        <f>ACCUM!AN187</f>
        <v>30639.520799999998</v>
      </c>
      <c r="X7" s="460">
        <f>ACCUM!AO187</f>
        <v>30639.520799999998</v>
      </c>
      <c r="Y7" s="460">
        <f>ACCUM!AP187</f>
        <v>30639.520799999998</v>
      </c>
      <c r="Z7" s="460">
        <f>ACCUM!AQ187</f>
        <v>30639.520799999998</v>
      </c>
      <c r="AA7" s="461">
        <f>ACCUM!AR187</f>
        <v>31100.133600000001</v>
      </c>
      <c r="AB7" s="474"/>
      <c r="AC7" s="474"/>
      <c r="AD7" s="474"/>
      <c r="AE7" s="474"/>
      <c r="AF7" s="474"/>
      <c r="AG7" s="474"/>
      <c r="AH7" s="474"/>
      <c r="AI7" s="474"/>
      <c r="AJ7" s="474"/>
      <c r="AK7" s="474"/>
      <c r="AL7" s="474"/>
      <c r="AM7" s="474"/>
      <c r="AN7" s="474"/>
      <c r="AO7" s="481"/>
      <c r="AP7" s="481"/>
    </row>
    <row r="8" spans="1:42" ht="28.5" customHeight="1" x14ac:dyDescent="0.35">
      <c r="A8" s="492" t="s">
        <v>347</v>
      </c>
      <c r="B8" s="493">
        <v>4</v>
      </c>
      <c r="C8" s="493">
        <v>261</v>
      </c>
      <c r="D8" s="494">
        <v>8</v>
      </c>
      <c r="E8" s="472"/>
      <c r="F8" s="483">
        <v>3</v>
      </c>
      <c r="G8" s="459">
        <f>ACCUM!X188</f>
        <v>24608.124</v>
      </c>
      <c r="H8" s="460">
        <f>ACCUM!Y188</f>
        <v>25090.660800000001</v>
      </c>
      <c r="I8" s="460">
        <f>ACCUM!Z188</f>
        <v>25836.285599999999</v>
      </c>
      <c r="J8" s="460">
        <f>ACCUM!AA188</f>
        <v>26340.7464</v>
      </c>
      <c r="K8" s="460">
        <f>ACCUM!AB188</f>
        <v>26823.283199999998</v>
      </c>
      <c r="L8" s="460">
        <f>ACCUM!AC188</f>
        <v>27305.82</v>
      </c>
      <c r="M8" s="460">
        <f>ACCUM!AD188</f>
        <v>28051.444799999997</v>
      </c>
      <c r="N8" s="460">
        <f>ACCUM!AE188</f>
        <v>28555.905599999998</v>
      </c>
      <c r="O8" s="460">
        <f>ACCUM!AF188</f>
        <v>29038.4424</v>
      </c>
      <c r="P8" s="460">
        <f>ACCUM!AG188</f>
        <v>29784.067200000001</v>
      </c>
      <c r="Q8" s="460">
        <f>ACCUM!AH188</f>
        <v>30266.603999999999</v>
      </c>
      <c r="R8" s="460">
        <f>ACCUM!AI188</f>
        <v>30771.0648</v>
      </c>
      <c r="S8" s="460">
        <f>ACCUM!AJ188</f>
        <v>31494.765600000002</v>
      </c>
      <c r="T8" s="460">
        <f>ACCUM!AK188</f>
        <v>31999.2264</v>
      </c>
      <c r="U8" s="460">
        <f>ACCUM!AL188</f>
        <v>32481.763200000001</v>
      </c>
      <c r="V8" s="460">
        <f>ACCUM!AM188</f>
        <v>32964.299999999996</v>
      </c>
      <c r="W8" s="460">
        <f>ACCUM!AN188</f>
        <v>33709.924800000001</v>
      </c>
      <c r="X8" s="460">
        <f>ACCUM!AO188</f>
        <v>33709.924800000001</v>
      </c>
      <c r="Y8" s="460">
        <f>ACCUM!AP188</f>
        <v>33709.924800000001</v>
      </c>
      <c r="Z8" s="460">
        <f>ACCUM!AQ188</f>
        <v>33709.924800000001</v>
      </c>
      <c r="AA8" s="461">
        <f>ACCUM!AR188</f>
        <v>34214.385599999994</v>
      </c>
      <c r="AB8" s="474"/>
      <c r="AC8" s="474"/>
      <c r="AD8" s="474"/>
      <c r="AE8" s="474"/>
      <c r="AF8" s="474"/>
      <c r="AG8" s="474"/>
      <c r="AH8" s="474"/>
      <c r="AI8" s="474"/>
      <c r="AJ8" s="474"/>
      <c r="AK8" s="474"/>
      <c r="AL8" s="474"/>
      <c r="AM8" s="474"/>
      <c r="AN8" s="474"/>
      <c r="AO8" s="481"/>
      <c r="AP8" s="481"/>
    </row>
    <row r="9" spans="1:42" ht="30" customHeight="1" x14ac:dyDescent="0.35">
      <c r="A9" s="498" t="s">
        <v>348</v>
      </c>
      <c r="B9" s="499">
        <v>5</v>
      </c>
      <c r="C9" s="499">
        <v>191</v>
      </c>
      <c r="D9" s="500">
        <v>7.5</v>
      </c>
      <c r="E9" s="472"/>
      <c r="F9" s="483">
        <v>4</v>
      </c>
      <c r="G9" s="459">
        <f>ACCUM!X189</f>
        <v>25836.285599999999</v>
      </c>
      <c r="H9" s="460">
        <f>ACCUM!Y189</f>
        <v>26362.670399999999</v>
      </c>
      <c r="I9" s="460">
        <f>ACCUM!Z189</f>
        <v>27130.2192</v>
      </c>
      <c r="J9" s="460">
        <f>ACCUM!AA189</f>
        <v>27656.603999999999</v>
      </c>
      <c r="K9" s="460">
        <f>ACCUM!AB189</f>
        <v>28161.0648</v>
      </c>
      <c r="L9" s="460">
        <f>ACCUM!AC189</f>
        <v>28687.4496</v>
      </c>
      <c r="M9" s="460">
        <f>ACCUM!AD189</f>
        <v>29455.207200000001</v>
      </c>
      <c r="N9" s="460">
        <f>ACCUM!AE189</f>
        <v>29981.592000000001</v>
      </c>
      <c r="O9" s="460">
        <f>ACCUM!AF189</f>
        <v>30486.052800000001</v>
      </c>
      <c r="P9" s="460">
        <f>ACCUM!AG189</f>
        <v>31275.525600000001</v>
      </c>
      <c r="Q9" s="460">
        <f>ACCUM!AH189</f>
        <v>31779.986400000002</v>
      </c>
      <c r="R9" s="460">
        <f>ACCUM!AI189</f>
        <v>32306.371200000001</v>
      </c>
      <c r="S9" s="460">
        <f>ACCUM!AJ189</f>
        <v>33073.919999999998</v>
      </c>
      <c r="T9" s="460">
        <f>ACCUM!AK189</f>
        <v>33600.304799999998</v>
      </c>
      <c r="U9" s="460">
        <f>ACCUM!AL189</f>
        <v>34104.765599999999</v>
      </c>
      <c r="V9" s="460">
        <f>ACCUM!AM189</f>
        <v>34631.150399999999</v>
      </c>
      <c r="W9" s="460">
        <f>ACCUM!AN189</f>
        <v>35398.907999999996</v>
      </c>
      <c r="X9" s="460">
        <f>ACCUM!AO189</f>
        <v>35398.907999999996</v>
      </c>
      <c r="Y9" s="460">
        <f>ACCUM!AP189</f>
        <v>35398.907999999996</v>
      </c>
      <c r="Z9" s="460">
        <f>ACCUM!AQ189</f>
        <v>35398.907999999996</v>
      </c>
      <c r="AA9" s="461">
        <f>ACCUM!AR189</f>
        <v>35925.292800000003</v>
      </c>
      <c r="AB9" s="474"/>
      <c r="AC9" s="474"/>
      <c r="AD9" s="474"/>
      <c r="AE9" s="474"/>
      <c r="AF9" s="474"/>
      <c r="AG9" s="474"/>
      <c r="AH9" s="474"/>
      <c r="AI9" s="474"/>
      <c r="AJ9" s="474"/>
      <c r="AK9" s="474"/>
      <c r="AL9" s="474"/>
      <c r="AM9" s="474"/>
      <c r="AN9" s="474"/>
      <c r="AO9" s="481"/>
      <c r="AP9" s="481"/>
    </row>
    <row r="10" spans="1:42" ht="19.899999999999999" customHeight="1" x14ac:dyDescent="0.35">
      <c r="A10" s="492" t="s">
        <v>349</v>
      </c>
      <c r="B10" s="493">
        <v>5</v>
      </c>
      <c r="C10" s="493">
        <v>191</v>
      </c>
      <c r="D10" s="494">
        <v>7.5</v>
      </c>
      <c r="E10" s="472"/>
      <c r="F10" s="483">
        <v>5</v>
      </c>
      <c r="G10" s="459">
        <f>ACCUM!X190</f>
        <v>27130.2192</v>
      </c>
      <c r="H10" s="460">
        <f>ACCUM!Y190</f>
        <v>27678.528000000002</v>
      </c>
      <c r="I10" s="460">
        <f>ACCUM!Z190</f>
        <v>28490.133600000001</v>
      </c>
      <c r="J10" s="460">
        <f>ACCUM!AA190</f>
        <v>29038.4424</v>
      </c>
      <c r="K10" s="460">
        <f>ACCUM!AB190</f>
        <v>29564.8272</v>
      </c>
      <c r="L10" s="460">
        <f>ACCUM!AC190</f>
        <v>30113.136000000002</v>
      </c>
      <c r="M10" s="460">
        <f>ACCUM!AD190</f>
        <v>30924.532800000001</v>
      </c>
      <c r="N10" s="460">
        <f>ACCUM!AE190</f>
        <v>31472.8416</v>
      </c>
      <c r="O10" s="460">
        <f>ACCUM!AF190</f>
        <v>32021.150400000002</v>
      </c>
      <c r="P10" s="460">
        <f>ACCUM!AG190</f>
        <v>32832.756000000001</v>
      </c>
      <c r="Q10" s="460">
        <f>ACCUM!AH190</f>
        <v>33381.0648</v>
      </c>
      <c r="R10" s="460">
        <f>ACCUM!AI190</f>
        <v>33907.4496</v>
      </c>
      <c r="S10" s="460">
        <f>ACCUM!AJ190</f>
        <v>34718.846400000002</v>
      </c>
      <c r="T10" s="460">
        <f>ACCUM!AK190</f>
        <v>35267.155200000001</v>
      </c>
      <c r="U10" s="460">
        <f>ACCUM!AL190</f>
        <v>35815.464</v>
      </c>
      <c r="V10" s="460">
        <f>ACCUM!AM190</f>
        <v>36363.772800000006</v>
      </c>
      <c r="W10" s="460">
        <f>ACCUM!AN190</f>
        <v>37175.378400000001</v>
      </c>
      <c r="X10" s="460">
        <f>ACCUM!AO190</f>
        <v>37175.378400000001</v>
      </c>
      <c r="Y10" s="460">
        <f>ACCUM!AP190</f>
        <v>37175.378400000001</v>
      </c>
      <c r="Z10" s="460">
        <f>ACCUM!AQ190</f>
        <v>37175.378400000001</v>
      </c>
      <c r="AA10" s="461">
        <f>ACCUM!AR190</f>
        <v>37701.763200000001</v>
      </c>
      <c r="AB10" s="474"/>
      <c r="AC10" s="474"/>
      <c r="AD10" s="474"/>
      <c r="AE10" s="474"/>
      <c r="AF10" s="474"/>
      <c r="AG10" s="474"/>
      <c r="AH10" s="474"/>
      <c r="AI10" s="474"/>
      <c r="AJ10" s="474"/>
      <c r="AK10" s="474"/>
      <c r="AL10" s="474"/>
      <c r="AM10" s="474"/>
      <c r="AN10" s="474"/>
      <c r="AO10" s="481"/>
      <c r="AP10" s="481"/>
    </row>
    <row r="11" spans="1:42" ht="19.899999999999999" customHeight="1" x14ac:dyDescent="0.35">
      <c r="A11" s="498"/>
      <c r="B11" s="499">
        <v>6</v>
      </c>
      <c r="C11" s="499">
        <v>261</v>
      </c>
      <c r="D11" s="500">
        <v>8</v>
      </c>
      <c r="E11" s="472"/>
      <c r="F11" s="483">
        <v>6</v>
      </c>
      <c r="G11" s="459">
        <f>ACCUM!X191</f>
        <v>28490.133600000001</v>
      </c>
      <c r="H11" s="460">
        <f>ACCUM!Y191</f>
        <v>29060.366399999999</v>
      </c>
      <c r="I11" s="460">
        <f>ACCUM!Z191</f>
        <v>29915.82</v>
      </c>
      <c r="J11" s="460">
        <f>ACCUM!AA191</f>
        <v>30486.052800000001</v>
      </c>
      <c r="K11" s="460">
        <f>ACCUM!AB191</f>
        <v>31056.285599999999</v>
      </c>
      <c r="L11" s="460">
        <f>ACCUM!AC191</f>
        <v>31626.518400000001</v>
      </c>
      <c r="M11" s="460">
        <f>ACCUM!AD191</f>
        <v>32481.763200000001</v>
      </c>
      <c r="N11" s="460">
        <f>ACCUM!AE191</f>
        <v>33051.995999999999</v>
      </c>
      <c r="O11" s="460">
        <f>ACCUM!AF191</f>
        <v>33622.228799999997</v>
      </c>
      <c r="P11" s="460">
        <f>ACCUM!AG191</f>
        <v>34477.682399999998</v>
      </c>
      <c r="Q11" s="460">
        <f>ACCUM!AH191</f>
        <v>35047.915199999996</v>
      </c>
      <c r="R11" s="460">
        <f>ACCUM!AI191</f>
        <v>35618.147999999994</v>
      </c>
      <c r="S11" s="460">
        <f>ACCUM!AJ191</f>
        <v>36473.601600000002</v>
      </c>
      <c r="T11" s="460">
        <f>ACCUM!AK191</f>
        <v>37043.8344</v>
      </c>
      <c r="U11" s="460">
        <f>ACCUM!AL191</f>
        <v>37592.143200000006</v>
      </c>
      <c r="V11" s="460">
        <f>ACCUM!AM191</f>
        <v>38162.376000000004</v>
      </c>
      <c r="W11" s="460">
        <f>ACCUM!AN191</f>
        <v>39017.620799999997</v>
      </c>
      <c r="X11" s="460">
        <f>ACCUM!AO191</f>
        <v>39017.620799999997</v>
      </c>
      <c r="Y11" s="460">
        <f>ACCUM!AP191</f>
        <v>39017.620799999997</v>
      </c>
      <c r="Z11" s="460">
        <f>ACCUM!AQ191</f>
        <v>39017.620799999997</v>
      </c>
      <c r="AA11" s="461">
        <f>ACCUM!AR191</f>
        <v>39587.853600000002</v>
      </c>
      <c r="AB11" s="474"/>
      <c r="AC11" s="474"/>
      <c r="AD11" s="474"/>
      <c r="AE11" s="474"/>
      <c r="AF11" s="474"/>
      <c r="AG11" s="474"/>
      <c r="AH11" s="474"/>
      <c r="AI11" s="474"/>
      <c r="AJ11" s="474"/>
      <c r="AK11" s="474"/>
      <c r="AL11" s="474"/>
      <c r="AM11" s="474"/>
      <c r="AN11" s="474"/>
      <c r="AO11" s="481"/>
      <c r="AP11" s="481"/>
    </row>
    <row r="12" spans="1:42" ht="19.899999999999999" customHeight="1" x14ac:dyDescent="0.35">
      <c r="A12" s="492" t="s">
        <v>350</v>
      </c>
      <c r="B12" s="493">
        <v>7</v>
      </c>
      <c r="C12" s="493">
        <v>261</v>
      </c>
      <c r="D12" s="494">
        <v>8</v>
      </c>
      <c r="E12" s="472"/>
      <c r="F12" s="483">
        <v>7</v>
      </c>
      <c r="G12" s="459">
        <f>ACCUM!X192</f>
        <v>31341.297599999998</v>
      </c>
      <c r="H12" s="460">
        <f>ACCUM!Y192</f>
        <v>31955.378399999998</v>
      </c>
      <c r="I12" s="460">
        <f>ACCUM!Z192</f>
        <v>32898.527999999998</v>
      </c>
      <c r="J12" s="460">
        <f>ACCUM!AA192</f>
        <v>33534.532800000001</v>
      </c>
      <c r="K12" s="460">
        <f>ACCUM!AB192</f>
        <v>34148.613600000004</v>
      </c>
      <c r="L12" s="460">
        <f>ACCUM!AC192</f>
        <v>34784.618400000007</v>
      </c>
      <c r="M12" s="460">
        <f>ACCUM!AD192</f>
        <v>35727.768000000004</v>
      </c>
      <c r="N12" s="460">
        <f>ACCUM!AE192</f>
        <v>36341.8488</v>
      </c>
      <c r="O12" s="460">
        <f>ACCUM!AF192</f>
        <v>36977.853600000002</v>
      </c>
      <c r="P12" s="460">
        <f>ACCUM!AG192</f>
        <v>37921.003199999999</v>
      </c>
      <c r="Q12" s="460">
        <f>ACCUM!AH192</f>
        <v>38535.084000000003</v>
      </c>
      <c r="R12" s="460">
        <f>ACCUM!AI192</f>
        <v>39171.088800000005</v>
      </c>
      <c r="S12" s="460">
        <f>ACCUM!AJ192</f>
        <v>40114.238400000002</v>
      </c>
      <c r="T12" s="460">
        <f>ACCUM!AK192</f>
        <v>40728.319199999998</v>
      </c>
      <c r="U12" s="460">
        <f>ACCUM!AL192</f>
        <v>41364.324000000001</v>
      </c>
      <c r="V12" s="460">
        <f>ACCUM!AM192</f>
        <v>42000.537600000003</v>
      </c>
      <c r="W12" s="460">
        <f>ACCUM!AN192</f>
        <v>42921.554400000001</v>
      </c>
      <c r="X12" s="460">
        <f>ACCUM!AO192</f>
        <v>42921.554400000001</v>
      </c>
      <c r="Y12" s="460">
        <f>ACCUM!AP192</f>
        <v>42921.554400000001</v>
      </c>
      <c r="Z12" s="460">
        <f>ACCUM!AQ192</f>
        <v>42921.554400000001</v>
      </c>
      <c r="AA12" s="461">
        <f>ACCUM!AR192</f>
        <v>43557.559200000003</v>
      </c>
      <c r="AB12" s="474"/>
      <c r="AC12" s="474"/>
      <c r="AD12" s="474"/>
      <c r="AE12" s="474"/>
      <c r="AF12" s="474"/>
      <c r="AG12" s="474"/>
      <c r="AH12" s="474"/>
      <c r="AI12" s="474"/>
      <c r="AJ12" s="474"/>
      <c r="AK12" s="474"/>
      <c r="AL12" s="474"/>
      <c r="AM12" s="474"/>
      <c r="AN12" s="474"/>
      <c r="AO12" s="481"/>
      <c r="AP12" s="481"/>
    </row>
    <row r="13" spans="1:42" ht="19.899999999999999" customHeight="1" x14ac:dyDescent="0.35">
      <c r="A13" s="498" t="s">
        <v>351</v>
      </c>
      <c r="B13" s="499">
        <v>8</v>
      </c>
      <c r="C13" s="499">
        <v>191</v>
      </c>
      <c r="D13" s="500">
        <v>7.5</v>
      </c>
      <c r="E13" s="472"/>
      <c r="F13" s="483">
        <v>8</v>
      </c>
      <c r="G13" s="459">
        <f>ACCUM!X193</f>
        <v>31955.378399999998</v>
      </c>
      <c r="H13" s="460">
        <f>ACCUM!Y193</f>
        <v>32591.3832</v>
      </c>
      <c r="I13" s="460">
        <f>ACCUM!Z193</f>
        <v>33556.4568</v>
      </c>
      <c r="J13" s="460">
        <f>ACCUM!AA193</f>
        <v>34192.461599999995</v>
      </c>
      <c r="K13" s="460">
        <f>ACCUM!AB193</f>
        <v>34828.675199999998</v>
      </c>
      <c r="L13" s="460">
        <f>ACCUM!AC193</f>
        <v>35486.603999999999</v>
      </c>
      <c r="M13" s="460">
        <f>ACCUM!AD193</f>
        <v>36429.544799999996</v>
      </c>
      <c r="N13" s="460">
        <f>ACCUM!AE193</f>
        <v>37065.758399999999</v>
      </c>
      <c r="O13" s="460">
        <f>ACCUM!AF193</f>
        <v>37723.6872</v>
      </c>
      <c r="P13" s="460">
        <f>ACCUM!AG193</f>
        <v>38666.836799999997</v>
      </c>
      <c r="Q13" s="460">
        <f>ACCUM!AH193</f>
        <v>39302.8416</v>
      </c>
      <c r="R13" s="460">
        <f>ACCUM!AI193</f>
        <v>39960.770400000001</v>
      </c>
      <c r="S13" s="460">
        <f>ACCUM!AJ193</f>
        <v>40903.919999999998</v>
      </c>
      <c r="T13" s="460">
        <f>ACCUM!AK193</f>
        <v>41561.8488</v>
      </c>
      <c r="U13" s="460">
        <f>ACCUM!AL193</f>
        <v>42197.853600000002</v>
      </c>
      <c r="V13" s="460">
        <f>ACCUM!AM193</f>
        <v>42833.858399999997</v>
      </c>
      <c r="W13" s="460">
        <f>ACCUM!AN193</f>
        <v>43798.932000000001</v>
      </c>
      <c r="X13" s="460">
        <f>ACCUM!AO193</f>
        <v>43798.932000000001</v>
      </c>
      <c r="Y13" s="460">
        <f>ACCUM!AP193</f>
        <v>43798.932000000001</v>
      </c>
      <c r="Z13" s="460">
        <f>ACCUM!AQ193</f>
        <v>43798.932000000001</v>
      </c>
      <c r="AA13" s="461">
        <f>ACCUM!AR193</f>
        <v>44434.936799999996</v>
      </c>
      <c r="AB13" s="474"/>
      <c r="AC13" s="474"/>
      <c r="AD13" s="474"/>
      <c r="AE13" s="474"/>
      <c r="AF13" s="474"/>
      <c r="AG13" s="474"/>
      <c r="AH13" s="474"/>
      <c r="AI13" s="474"/>
      <c r="AJ13" s="474"/>
      <c r="AK13" s="474"/>
      <c r="AL13" s="474"/>
      <c r="AM13" s="474"/>
      <c r="AN13" s="474"/>
      <c r="AO13" s="481"/>
      <c r="AP13" s="481"/>
    </row>
    <row r="14" spans="1:42" ht="19.899999999999999" customHeight="1" x14ac:dyDescent="0.35">
      <c r="A14" s="492" t="s">
        <v>352</v>
      </c>
      <c r="B14" s="493">
        <v>8</v>
      </c>
      <c r="C14" s="493">
        <v>261</v>
      </c>
      <c r="D14" s="494">
        <v>8</v>
      </c>
      <c r="E14" s="472"/>
      <c r="F14" s="483">
        <v>9</v>
      </c>
      <c r="G14" s="459">
        <f>ACCUM!X194</f>
        <v>33885.525600000001</v>
      </c>
      <c r="H14" s="460">
        <f>ACCUM!Y194</f>
        <v>34565.378400000001</v>
      </c>
      <c r="I14" s="460">
        <f>ACCUM!Z194</f>
        <v>35574.300000000003</v>
      </c>
      <c r="J14" s="460">
        <f>ACCUM!AA194</f>
        <v>36254.152799999996</v>
      </c>
      <c r="K14" s="460">
        <f>ACCUM!AB194</f>
        <v>36934.005600000004</v>
      </c>
      <c r="L14" s="460">
        <f>ACCUM!AC194</f>
        <v>37614.067199999998</v>
      </c>
      <c r="M14" s="460">
        <f>ACCUM!AD194</f>
        <v>38622.78</v>
      </c>
      <c r="N14" s="460">
        <f>ACCUM!AE194</f>
        <v>39302.8416</v>
      </c>
      <c r="O14" s="460">
        <f>ACCUM!AF194</f>
        <v>39982.6944</v>
      </c>
      <c r="P14" s="460">
        <f>ACCUM!AG194</f>
        <v>40991.616000000002</v>
      </c>
      <c r="Q14" s="460">
        <f>ACCUM!AH194</f>
        <v>41671.468799999995</v>
      </c>
      <c r="R14" s="460">
        <f>ACCUM!AI194</f>
        <v>42351.321600000003</v>
      </c>
      <c r="S14" s="460">
        <f>ACCUM!AJ194</f>
        <v>43360.243200000004</v>
      </c>
      <c r="T14" s="460">
        <f>ACCUM!AK194</f>
        <v>44040.095999999998</v>
      </c>
      <c r="U14" s="460">
        <f>ACCUM!AL194</f>
        <v>44720.157599999999</v>
      </c>
      <c r="V14" s="460">
        <f>ACCUM!AM194</f>
        <v>45400.010400000006</v>
      </c>
      <c r="W14" s="460">
        <f>ACCUM!AN194</f>
        <v>46408.932000000001</v>
      </c>
      <c r="X14" s="460">
        <f>ACCUM!AO194</f>
        <v>46408.932000000001</v>
      </c>
      <c r="Y14" s="460">
        <f>ACCUM!AP194</f>
        <v>46408.932000000001</v>
      </c>
      <c r="Z14" s="460">
        <f>ACCUM!AQ194</f>
        <v>46408.932000000001</v>
      </c>
      <c r="AA14" s="461">
        <f>ACCUM!AR194</f>
        <v>47088.784800000001</v>
      </c>
      <c r="AB14" s="474"/>
      <c r="AC14" s="474"/>
      <c r="AD14" s="474"/>
      <c r="AE14" s="474"/>
      <c r="AF14" s="474"/>
      <c r="AG14" s="474"/>
      <c r="AH14" s="474"/>
      <c r="AI14" s="474"/>
      <c r="AJ14" s="474"/>
      <c r="AK14" s="474"/>
      <c r="AL14" s="474"/>
      <c r="AM14" s="474"/>
      <c r="AN14" s="474"/>
      <c r="AO14" s="481"/>
      <c r="AP14" s="481"/>
    </row>
    <row r="15" spans="1:42" ht="19.899999999999999" customHeight="1" x14ac:dyDescent="0.35">
      <c r="A15" s="523"/>
      <c r="B15" s="524"/>
      <c r="C15" s="524"/>
      <c r="D15" s="525"/>
      <c r="E15" s="472"/>
      <c r="F15" s="483">
        <v>10</v>
      </c>
      <c r="G15" s="459">
        <f>ACCUM!X195</f>
        <v>34565.378400000001</v>
      </c>
      <c r="H15" s="460">
        <f>ACCUM!Y195</f>
        <v>35245.231200000002</v>
      </c>
      <c r="I15" s="460">
        <f>ACCUM!Z195</f>
        <v>36276.076800000003</v>
      </c>
      <c r="J15" s="460">
        <f>ACCUM!AA195</f>
        <v>36977.853600000002</v>
      </c>
      <c r="K15" s="460">
        <f>ACCUM!AB195</f>
        <v>37657.915199999996</v>
      </c>
      <c r="L15" s="460">
        <f>ACCUM!AC195</f>
        <v>38359.692000000003</v>
      </c>
      <c r="M15" s="460">
        <f>ACCUM!AD195</f>
        <v>39390.537600000003</v>
      </c>
      <c r="N15" s="460">
        <f>ACCUM!AE195</f>
        <v>40092.314400000003</v>
      </c>
      <c r="O15" s="460">
        <f>ACCUM!AF195</f>
        <v>40772.167200000004</v>
      </c>
      <c r="P15" s="460">
        <f>ACCUM!AG195</f>
        <v>41824.936799999996</v>
      </c>
      <c r="Q15" s="460">
        <f>ACCUM!AH195</f>
        <v>42504.998399999997</v>
      </c>
      <c r="R15" s="460">
        <f>ACCUM!AI195</f>
        <v>43206.775200000004</v>
      </c>
      <c r="S15" s="460">
        <f>ACCUM!AJ195</f>
        <v>44237.620799999997</v>
      </c>
      <c r="T15" s="460">
        <f>ACCUM!AK195</f>
        <v>44917.473599999998</v>
      </c>
      <c r="U15" s="460">
        <f>ACCUM!AL195</f>
        <v>45619.250399999997</v>
      </c>
      <c r="V15" s="460">
        <f>ACCUM!AM195</f>
        <v>46299.103199999998</v>
      </c>
      <c r="W15" s="460">
        <f>ACCUM!AN195</f>
        <v>47351.872800000005</v>
      </c>
      <c r="X15" s="460">
        <f>ACCUM!AO195</f>
        <v>47351.872800000005</v>
      </c>
      <c r="Y15" s="460">
        <f>ACCUM!AP195</f>
        <v>47351.872800000005</v>
      </c>
      <c r="Z15" s="460">
        <f>ACCUM!AQ195</f>
        <v>47351.872800000005</v>
      </c>
      <c r="AA15" s="461">
        <f>ACCUM!AR195</f>
        <v>48031.934399999998</v>
      </c>
      <c r="AB15" s="474"/>
      <c r="AC15" s="474"/>
      <c r="AD15" s="474"/>
      <c r="AE15" s="474"/>
      <c r="AF15" s="474"/>
      <c r="AG15" s="474"/>
      <c r="AH15" s="474"/>
      <c r="AI15" s="474"/>
      <c r="AJ15" s="474"/>
      <c r="AK15" s="474"/>
      <c r="AL15" s="474"/>
      <c r="AM15" s="474"/>
      <c r="AN15" s="474"/>
      <c r="AO15" s="481"/>
      <c r="AP15" s="481"/>
    </row>
    <row r="16" spans="1:42" ht="30.75" customHeight="1" x14ac:dyDescent="0.35">
      <c r="A16" s="520" t="s">
        <v>353</v>
      </c>
      <c r="B16" s="521">
        <v>9</v>
      </c>
      <c r="C16" s="521">
        <v>261</v>
      </c>
      <c r="D16" s="522">
        <v>8</v>
      </c>
      <c r="E16" s="472"/>
      <c r="F16" s="483">
        <v>11</v>
      </c>
      <c r="G16" s="459">
        <f>ACCUM!X196</f>
        <v>35245.231200000002</v>
      </c>
      <c r="H16" s="460">
        <f>ACCUM!Y196</f>
        <v>35947.216800000002</v>
      </c>
      <c r="I16" s="460">
        <f>ACCUM!Z196</f>
        <v>37021.910399999993</v>
      </c>
      <c r="J16" s="460">
        <f>ACCUM!AA196</f>
        <v>37723.6872</v>
      </c>
      <c r="K16" s="460">
        <f>ACCUM!AB196</f>
        <v>38425.464</v>
      </c>
      <c r="L16" s="460">
        <f>ACCUM!AC196</f>
        <v>39127.2408</v>
      </c>
      <c r="M16" s="460">
        <f>ACCUM!AD196</f>
        <v>40180.010400000006</v>
      </c>
      <c r="N16" s="460">
        <f>ACCUM!AE196</f>
        <v>40881.995999999999</v>
      </c>
      <c r="O16" s="460">
        <f>ACCUM!AF196</f>
        <v>41583.772800000006</v>
      </c>
      <c r="P16" s="460">
        <f>ACCUM!AG196</f>
        <v>42658.466399999998</v>
      </c>
      <c r="Q16" s="460">
        <f>ACCUM!AH196</f>
        <v>43360.243200000004</v>
      </c>
      <c r="R16" s="460">
        <f>ACCUM!AI196</f>
        <v>44062.02</v>
      </c>
      <c r="S16" s="460">
        <f>ACCUM!AJ196</f>
        <v>45114.789599999996</v>
      </c>
      <c r="T16" s="460">
        <f>ACCUM!AK196</f>
        <v>45816.775200000004</v>
      </c>
      <c r="U16" s="460">
        <f>ACCUM!AL196</f>
        <v>46518.552000000003</v>
      </c>
      <c r="V16" s="460">
        <f>ACCUM!AM196</f>
        <v>47242.252799999995</v>
      </c>
      <c r="W16" s="460">
        <f>ACCUM!AN196</f>
        <v>48295.022400000002</v>
      </c>
      <c r="X16" s="460">
        <f>ACCUM!AO196</f>
        <v>48295.022400000002</v>
      </c>
      <c r="Y16" s="460">
        <f>ACCUM!AP196</f>
        <v>48295.022400000002</v>
      </c>
      <c r="Z16" s="460">
        <f>ACCUM!AQ196</f>
        <v>48295.022400000002</v>
      </c>
      <c r="AA16" s="461">
        <f>ACCUM!AR196</f>
        <v>48996.799200000001</v>
      </c>
      <c r="AB16" s="474"/>
      <c r="AC16" s="474"/>
      <c r="AD16" s="474"/>
      <c r="AE16" s="474"/>
      <c r="AF16" s="474"/>
      <c r="AG16" s="474"/>
      <c r="AH16" s="474"/>
      <c r="AI16" s="474"/>
      <c r="AJ16" s="474"/>
      <c r="AK16" s="474"/>
      <c r="AL16" s="474"/>
      <c r="AM16" s="474"/>
      <c r="AN16" s="474"/>
      <c r="AO16" s="481"/>
      <c r="AP16" s="481"/>
    </row>
    <row r="17" spans="1:42" ht="28.5" customHeight="1" x14ac:dyDescent="0.35">
      <c r="A17" s="498" t="s">
        <v>354</v>
      </c>
      <c r="B17" s="499">
        <v>10</v>
      </c>
      <c r="C17" s="499">
        <v>261</v>
      </c>
      <c r="D17" s="500">
        <v>8</v>
      </c>
      <c r="E17" s="472"/>
      <c r="F17" s="483">
        <v>12</v>
      </c>
      <c r="G17" s="459">
        <f>ACCUM!X197</f>
        <v>37021.910399999993</v>
      </c>
      <c r="H17" s="460">
        <f>ACCUM!Y197</f>
        <v>37745.611199999999</v>
      </c>
      <c r="I17" s="460">
        <f>ACCUM!Z197</f>
        <v>38864.152799999996</v>
      </c>
      <c r="J17" s="460">
        <f>ACCUM!AA197</f>
        <v>39609.777599999994</v>
      </c>
      <c r="K17" s="460">
        <f>ACCUM!AB197</f>
        <v>40333.6872</v>
      </c>
      <c r="L17" s="460">
        <f>ACCUM!AC197</f>
        <v>41079.311999999998</v>
      </c>
      <c r="M17" s="460">
        <f>ACCUM!AD197</f>
        <v>42197.853600000002</v>
      </c>
      <c r="N17" s="460">
        <f>ACCUM!AE197</f>
        <v>42943.4784</v>
      </c>
      <c r="O17" s="460">
        <f>ACCUM!AF197</f>
        <v>43667.387999999999</v>
      </c>
      <c r="P17" s="460">
        <f>ACCUM!AG197</f>
        <v>44785.929600000003</v>
      </c>
      <c r="Q17" s="460">
        <f>ACCUM!AH197</f>
        <v>45531.554400000001</v>
      </c>
      <c r="R17" s="460">
        <f>ACCUM!AI197</f>
        <v>46255.2552</v>
      </c>
      <c r="S17" s="460">
        <f>ACCUM!AJ197</f>
        <v>47373.796800000004</v>
      </c>
      <c r="T17" s="460">
        <f>ACCUM!AK197</f>
        <v>48119.630400000002</v>
      </c>
      <c r="U17" s="460">
        <f>ACCUM!AL197</f>
        <v>48865.2552</v>
      </c>
      <c r="V17" s="460">
        <f>ACCUM!AM197</f>
        <v>49588.956000000006</v>
      </c>
      <c r="W17" s="460">
        <f>ACCUM!AN197</f>
        <v>50707.497600000002</v>
      </c>
      <c r="X17" s="460">
        <f>ACCUM!AO197</f>
        <v>50707.497600000002</v>
      </c>
      <c r="Y17" s="460">
        <f>ACCUM!AP197</f>
        <v>50707.497600000002</v>
      </c>
      <c r="Z17" s="460">
        <f>ACCUM!AQ197</f>
        <v>50707.497600000002</v>
      </c>
      <c r="AA17" s="461">
        <f>ACCUM!AR197</f>
        <v>51453.331200000001</v>
      </c>
      <c r="AB17" s="474"/>
      <c r="AC17" s="474"/>
      <c r="AD17" s="474"/>
      <c r="AE17" s="474"/>
      <c r="AF17" s="474"/>
      <c r="AG17" s="474"/>
      <c r="AH17" s="474"/>
      <c r="AI17" s="474"/>
      <c r="AJ17" s="474"/>
      <c r="AK17" s="474"/>
      <c r="AL17" s="474"/>
      <c r="AM17" s="474"/>
      <c r="AN17" s="474"/>
      <c r="AO17" s="481"/>
      <c r="AP17" s="481"/>
    </row>
    <row r="18" spans="1:42" ht="26.25" customHeight="1" x14ac:dyDescent="0.35">
      <c r="A18" s="492" t="s">
        <v>355</v>
      </c>
      <c r="B18" s="493">
        <v>11</v>
      </c>
      <c r="C18" s="493">
        <v>261</v>
      </c>
      <c r="D18" s="494">
        <v>8</v>
      </c>
      <c r="E18" s="472"/>
      <c r="F18" s="483">
        <v>13</v>
      </c>
      <c r="G18" s="459">
        <f>ACCUM!X198</f>
        <v>37942.927199999998</v>
      </c>
      <c r="H18" s="460">
        <f>ACCUM!Y198</f>
        <v>38688.760799999996</v>
      </c>
      <c r="I18" s="460">
        <f>ACCUM!Z198</f>
        <v>39829.2264</v>
      </c>
      <c r="J18" s="460">
        <f>ACCUM!AA198</f>
        <v>40596.775200000004</v>
      </c>
      <c r="K18" s="460">
        <f>ACCUM!AB198</f>
        <v>41342.400000000001</v>
      </c>
      <c r="L18" s="460">
        <f>ACCUM!AC198</f>
        <v>42110.157599999999</v>
      </c>
      <c r="M18" s="460">
        <f>ACCUM!AD198</f>
        <v>43250.623199999995</v>
      </c>
      <c r="N18" s="460">
        <f>ACCUM!AE198</f>
        <v>43996.248</v>
      </c>
      <c r="O18" s="460">
        <f>ACCUM!AF198</f>
        <v>44764.005600000004</v>
      </c>
      <c r="P18" s="460">
        <f>ACCUM!AG198</f>
        <v>45904.4712</v>
      </c>
      <c r="Q18" s="460">
        <f>ACCUM!AH198</f>
        <v>46672.02</v>
      </c>
      <c r="R18" s="460">
        <f>ACCUM!AI198</f>
        <v>47417.644799999995</v>
      </c>
      <c r="S18" s="460">
        <f>ACCUM!AJ198</f>
        <v>48558.319199999998</v>
      </c>
      <c r="T18" s="460">
        <f>ACCUM!AK198</f>
        <v>49325.868000000002</v>
      </c>
      <c r="U18" s="460">
        <f>ACCUM!AL198</f>
        <v>50071.4928</v>
      </c>
      <c r="V18" s="460">
        <f>ACCUM!AM198</f>
        <v>50839.250399999997</v>
      </c>
      <c r="W18" s="460">
        <f>ACCUM!AN198</f>
        <v>51979.716</v>
      </c>
      <c r="X18" s="460">
        <f>ACCUM!AO198</f>
        <v>51979.716</v>
      </c>
      <c r="Y18" s="460">
        <f>ACCUM!AP198</f>
        <v>51979.716</v>
      </c>
      <c r="Z18" s="460">
        <f>ACCUM!AQ198</f>
        <v>51979.716</v>
      </c>
      <c r="AA18" s="461">
        <f>ACCUM!AR198</f>
        <v>52725.340799999998</v>
      </c>
      <c r="AB18" s="474"/>
      <c r="AC18" s="474"/>
      <c r="AD18" s="474"/>
      <c r="AE18" s="474"/>
      <c r="AF18" s="474"/>
      <c r="AG18" s="474"/>
      <c r="AH18" s="474"/>
      <c r="AI18" s="474"/>
      <c r="AJ18" s="474"/>
      <c r="AK18" s="474"/>
      <c r="AL18" s="474"/>
      <c r="AM18" s="474"/>
      <c r="AN18" s="474"/>
      <c r="AO18" s="481"/>
      <c r="AP18" s="481"/>
    </row>
    <row r="19" spans="1:42" ht="19.899999999999999" customHeight="1" x14ac:dyDescent="0.35">
      <c r="A19" s="498" t="s">
        <v>356</v>
      </c>
      <c r="B19" s="499">
        <v>12</v>
      </c>
      <c r="C19" s="499">
        <v>191</v>
      </c>
      <c r="D19" s="500">
        <v>7.5</v>
      </c>
      <c r="E19" s="472"/>
      <c r="F19" s="483">
        <v>14</v>
      </c>
      <c r="G19" s="459">
        <f>ACCUM!X199</f>
        <v>38886.076800000003</v>
      </c>
      <c r="H19" s="460">
        <f>ACCUM!Y199</f>
        <v>39653.625599999999</v>
      </c>
      <c r="I19" s="460">
        <f>ACCUM!Z199</f>
        <v>40837.939200000001</v>
      </c>
      <c r="J19" s="460">
        <f>ACCUM!AA199</f>
        <v>41605.696800000005</v>
      </c>
      <c r="K19" s="460">
        <f>ACCUM!AB199</f>
        <v>42395.169600000001</v>
      </c>
      <c r="L19" s="460">
        <f>ACCUM!AC199</f>
        <v>43162.927199999998</v>
      </c>
      <c r="M19" s="460">
        <f>ACCUM!AD199</f>
        <v>44325.316800000001</v>
      </c>
      <c r="N19" s="460">
        <f>ACCUM!AE199</f>
        <v>45114.789599999996</v>
      </c>
      <c r="O19" s="460">
        <f>ACCUM!AF199</f>
        <v>45882.547200000001</v>
      </c>
      <c r="P19" s="460">
        <f>ACCUM!AG199</f>
        <v>47044.936799999996</v>
      </c>
      <c r="Q19" s="460">
        <f>ACCUM!AH199</f>
        <v>47834.409599999999</v>
      </c>
      <c r="R19" s="460">
        <f>ACCUM!AI199</f>
        <v>48602.167200000004</v>
      </c>
      <c r="S19" s="460">
        <f>ACCUM!AJ199</f>
        <v>49764.556799999998</v>
      </c>
      <c r="T19" s="460">
        <f>ACCUM!AK199</f>
        <v>50554.029600000002</v>
      </c>
      <c r="U19" s="460">
        <f>ACCUM!AL199</f>
        <v>51321.787199999999</v>
      </c>
      <c r="V19" s="460">
        <f>ACCUM!AM199</f>
        <v>52111.26</v>
      </c>
      <c r="W19" s="460">
        <f>ACCUM!AN199</f>
        <v>53273.649599999997</v>
      </c>
      <c r="X19" s="460">
        <f>ACCUM!AO199</f>
        <v>53273.649599999997</v>
      </c>
      <c r="Y19" s="460">
        <f>ACCUM!AP199</f>
        <v>53273.649599999997</v>
      </c>
      <c r="Z19" s="460">
        <f>ACCUM!AQ199</f>
        <v>53273.649599999997</v>
      </c>
      <c r="AA19" s="461">
        <f>ACCUM!AR199</f>
        <v>54041.407200000001</v>
      </c>
      <c r="AB19" s="474"/>
      <c r="AC19" s="474"/>
      <c r="AD19" s="474"/>
      <c r="AE19" s="474"/>
      <c r="AF19" s="474"/>
      <c r="AG19" s="474"/>
      <c r="AH19" s="474"/>
      <c r="AI19" s="474"/>
      <c r="AJ19" s="474"/>
      <c r="AK19" s="474"/>
      <c r="AL19" s="474"/>
      <c r="AM19" s="474"/>
      <c r="AN19" s="474"/>
      <c r="AO19" s="481"/>
      <c r="AP19" s="481"/>
    </row>
    <row r="20" spans="1:42" ht="19.899999999999999" customHeight="1" x14ac:dyDescent="0.35">
      <c r="A20" s="492" t="s">
        <v>356</v>
      </c>
      <c r="B20" s="493">
        <v>12</v>
      </c>
      <c r="C20" s="493">
        <v>226</v>
      </c>
      <c r="D20" s="494">
        <v>8</v>
      </c>
      <c r="E20" s="472"/>
      <c r="F20" s="483">
        <v>15</v>
      </c>
      <c r="G20" s="459">
        <f>ACCUM!X200</f>
        <v>39829.2264</v>
      </c>
      <c r="H20" s="460">
        <f>ACCUM!Y200</f>
        <v>40640.623199999995</v>
      </c>
      <c r="I20" s="460">
        <f>ACCUM!Z200</f>
        <v>41824.936799999996</v>
      </c>
      <c r="J20" s="460">
        <f>ACCUM!AA200</f>
        <v>42614.618400000007</v>
      </c>
      <c r="K20" s="460">
        <f>ACCUM!AB200</f>
        <v>43426.015199999994</v>
      </c>
      <c r="L20" s="460">
        <f>ACCUM!AC200</f>
        <v>44215.696800000005</v>
      </c>
      <c r="M20" s="460">
        <f>ACCUM!AD200</f>
        <v>45400.010400000006</v>
      </c>
      <c r="N20" s="460">
        <f>ACCUM!AE200</f>
        <v>46211.407200000001</v>
      </c>
      <c r="O20" s="460">
        <f>ACCUM!AF200</f>
        <v>47001.088800000005</v>
      </c>
      <c r="P20" s="460">
        <f>ACCUM!AG200</f>
        <v>48207.326400000005</v>
      </c>
      <c r="Q20" s="460">
        <f>ACCUM!AH200</f>
        <v>48996.799200000001</v>
      </c>
      <c r="R20" s="460">
        <f>ACCUM!AI200</f>
        <v>49786.480800000005</v>
      </c>
      <c r="S20" s="460">
        <f>ACCUM!AJ200</f>
        <v>50992.718400000005</v>
      </c>
      <c r="T20" s="460">
        <f>ACCUM!AK200</f>
        <v>51782.191200000001</v>
      </c>
      <c r="U20" s="460">
        <f>ACCUM!AL200</f>
        <v>52571.872800000005</v>
      </c>
      <c r="V20" s="460">
        <f>ACCUM!AM200</f>
        <v>53383.2696</v>
      </c>
      <c r="W20" s="460">
        <f>ACCUM!AN200</f>
        <v>54567.792000000001</v>
      </c>
      <c r="X20" s="460">
        <f>ACCUM!AO200</f>
        <v>54567.792000000001</v>
      </c>
      <c r="Y20" s="460">
        <f>ACCUM!AP200</f>
        <v>54567.792000000001</v>
      </c>
      <c r="Z20" s="460">
        <f>ACCUM!AQ200</f>
        <v>54567.792000000001</v>
      </c>
      <c r="AA20" s="461">
        <f>ACCUM!AR200</f>
        <v>55379.188800000004</v>
      </c>
      <c r="AB20" s="474"/>
      <c r="AC20" s="474"/>
      <c r="AD20" s="474"/>
      <c r="AE20" s="474"/>
      <c r="AF20" s="474"/>
      <c r="AG20" s="474"/>
      <c r="AH20" s="474"/>
      <c r="AI20" s="474"/>
      <c r="AJ20" s="474"/>
      <c r="AK20" s="474"/>
      <c r="AL20" s="474"/>
      <c r="AM20" s="474"/>
      <c r="AN20" s="474"/>
      <c r="AO20" s="481"/>
      <c r="AP20" s="481"/>
    </row>
    <row r="21" spans="1:42" ht="30" customHeight="1" x14ac:dyDescent="0.35">
      <c r="A21" s="492" t="s">
        <v>357</v>
      </c>
      <c r="B21" s="493">
        <v>12</v>
      </c>
      <c r="C21" s="493">
        <v>261</v>
      </c>
      <c r="D21" s="494">
        <v>8</v>
      </c>
      <c r="E21" s="472"/>
      <c r="F21" s="483">
        <v>16</v>
      </c>
      <c r="G21" s="459">
        <f>ACCUM!X201</f>
        <v>40640.623199999995</v>
      </c>
      <c r="H21" s="460">
        <f>ACCUM!Y201</f>
        <v>41452.228799999997</v>
      </c>
      <c r="I21" s="460">
        <f>ACCUM!Z201</f>
        <v>42658.466399999998</v>
      </c>
      <c r="J21" s="460">
        <f>ACCUM!AA201</f>
        <v>43469.8632</v>
      </c>
      <c r="K21" s="460">
        <f>ACCUM!AB201</f>
        <v>44281.468799999995</v>
      </c>
      <c r="L21" s="460">
        <f>ACCUM!AC201</f>
        <v>45092.865599999997</v>
      </c>
      <c r="M21" s="460">
        <f>ACCUM!AD201</f>
        <v>46321.027199999997</v>
      </c>
      <c r="N21" s="460">
        <f>ACCUM!AE201</f>
        <v>47132.632799999999</v>
      </c>
      <c r="O21" s="460">
        <f>ACCUM!AF201</f>
        <v>47944.029600000002</v>
      </c>
      <c r="P21" s="460">
        <f>ACCUM!AG201</f>
        <v>49172.4</v>
      </c>
      <c r="Q21" s="460">
        <f>ACCUM!AH201</f>
        <v>49983.796800000004</v>
      </c>
      <c r="R21" s="460">
        <f>ACCUM!AI201</f>
        <v>50795.402399999999</v>
      </c>
      <c r="S21" s="460">
        <f>ACCUM!AJ201</f>
        <v>52001.64</v>
      </c>
      <c r="T21" s="460">
        <f>ACCUM!AK201</f>
        <v>52813.036800000002</v>
      </c>
      <c r="U21" s="460">
        <f>ACCUM!AL201</f>
        <v>53624.642400000004</v>
      </c>
      <c r="V21" s="460">
        <f>ACCUM!AM201</f>
        <v>54436.039200000007</v>
      </c>
      <c r="W21" s="460">
        <f>ACCUM!AN201</f>
        <v>55664.409599999999</v>
      </c>
      <c r="X21" s="460">
        <f>ACCUM!AO201</f>
        <v>55664.409599999999</v>
      </c>
      <c r="Y21" s="460">
        <f>ACCUM!AP201</f>
        <v>55664.409599999999</v>
      </c>
      <c r="Z21" s="460">
        <f>ACCUM!AQ201</f>
        <v>55664.409599999999</v>
      </c>
      <c r="AA21" s="461">
        <f>ACCUM!AR201</f>
        <v>56475.806399999994</v>
      </c>
      <c r="AB21" s="474"/>
      <c r="AC21" s="474"/>
      <c r="AD21" s="474"/>
      <c r="AE21" s="474"/>
      <c r="AF21" s="474"/>
      <c r="AG21" s="474"/>
      <c r="AH21" s="474"/>
      <c r="AI21" s="474"/>
      <c r="AJ21" s="474"/>
      <c r="AK21" s="474"/>
      <c r="AL21" s="474"/>
      <c r="AM21" s="474"/>
      <c r="AN21" s="474"/>
      <c r="AO21" s="481"/>
      <c r="AP21" s="481"/>
    </row>
    <row r="22" spans="1:42" ht="23.25" customHeight="1" x14ac:dyDescent="0.35">
      <c r="A22" s="498" t="s">
        <v>358</v>
      </c>
      <c r="B22" s="499">
        <v>13</v>
      </c>
      <c r="C22" s="499">
        <v>261</v>
      </c>
      <c r="D22" s="500">
        <v>8</v>
      </c>
      <c r="E22" s="472"/>
      <c r="F22" s="483">
        <v>17</v>
      </c>
      <c r="G22" s="459">
        <f>ACCUM!X202</f>
        <v>42263.625599999999</v>
      </c>
      <c r="H22" s="460">
        <f>ACCUM!Y202</f>
        <v>43097.155200000001</v>
      </c>
      <c r="I22" s="460">
        <f>ACCUM!Z202</f>
        <v>44369.164799999999</v>
      </c>
      <c r="J22" s="460">
        <f>ACCUM!AA202</f>
        <v>45202.4856</v>
      </c>
      <c r="K22" s="460">
        <f>ACCUM!AB202</f>
        <v>46057.939200000001</v>
      </c>
      <c r="L22" s="460">
        <f>ACCUM!AC202</f>
        <v>46913.392800000001</v>
      </c>
      <c r="M22" s="460">
        <f>ACCUM!AD202</f>
        <v>48163.4784</v>
      </c>
      <c r="N22" s="460">
        <f>ACCUM!AE202</f>
        <v>49018.7232</v>
      </c>
      <c r="O22" s="460">
        <f>ACCUM!AF202</f>
        <v>49852.252799999995</v>
      </c>
      <c r="P22" s="460">
        <f>ACCUM!AG202</f>
        <v>51124.2624</v>
      </c>
      <c r="Q22" s="460">
        <f>ACCUM!AH202</f>
        <v>51979.716</v>
      </c>
      <c r="R22" s="460">
        <f>ACCUM!AI202</f>
        <v>52813.036800000002</v>
      </c>
      <c r="S22" s="460">
        <f>ACCUM!AJ202</f>
        <v>54085.2552</v>
      </c>
      <c r="T22" s="460">
        <f>ACCUM!AK202</f>
        <v>54940.5</v>
      </c>
      <c r="U22" s="460">
        <f>ACCUM!AL202</f>
        <v>55774.029600000002</v>
      </c>
      <c r="V22" s="460">
        <f>ACCUM!AM202</f>
        <v>56629.274400000002</v>
      </c>
      <c r="W22" s="460">
        <f>ACCUM!AN202</f>
        <v>57879.568799999994</v>
      </c>
      <c r="X22" s="460">
        <f>ACCUM!AO202</f>
        <v>57879.568799999994</v>
      </c>
      <c r="Y22" s="460">
        <f>ACCUM!AP202</f>
        <v>57879.568799999994</v>
      </c>
      <c r="Z22" s="460">
        <f>ACCUM!AQ202</f>
        <v>57879.568799999994</v>
      </c>
      <c r="AA22" s="461">
        <f>ACCUM!AR202</f>
        <v>58734.813600000001</v>
      </c>
      <c r="AB22" s="474"/>
      <c r="AC22" s="474"/>
      <c r="AD22" s="474"/>
      <c r="AE22" s="474"/>
      <c r="AF22" s="481"/>
      <c r="AG22" s="481"/>
      <c r="AH22" s="481"/>
      <c r="AI22" s="481"/>
      <c r="AJ22" s="481"/>
      <c r="AK22" s="481"/>
      <c r="AL22" s="481"/>
      <c r="AM22" s="481"/>
      <c r="AN22" s="481"/>
      <c r="AO22" s="481"/>
      <c r="AP22" s="481"/>
    </row>
    <row r="23" spans="1:42" ht="19.899999999999999" customHeight="1" x14ac:dyDescent="0.35">
      <c r="A23" s="492" t="s">
        <v>359</v>
      </c>
      <c r="B23" s="493">
        <v>14</v>
      </c>
      <c r="C23" s="493">
        <v>261</v>
      </c>
      <c r="D23" s="494">
        <v>8</v>
      </c>
      <c r="E23" s="472"/>
      <c r="F23" s="483">
        <v>18</v>
      </c>
      <c r="G23" s="459">
        <f>ACCUM!X203</f>
        <v>43316.395199999999</v>
      </c>
      <c r="H23" s="460">
        <f>ACCUM!Y203</f>
        <v>44171.8488</v>
      </c>
      <c r="I23" s="460">
        <f>ACCUM!Z203</f>
        <v>45487.706399999995</v>
      </c>
      <c r="J23" s="460">
        <f>ACCUM!AA203</f>
        <v>46343.16</v>
      </c>
      <c r="K23" s="460">
        <f>ACCUM!AB203</f>
        <v>47220.328800000003</v>
      </c>
      <c r="L23" s="460">
        <f>ACCUM!AC203</f>
        <v>48075.782399999996</v>
      </c>
      <c r="M23" s="460">
        <f>ACCUM!AD203</f>
        <v>49369.716</v>
      </c>
      <c r="N23" s="460">
        <f>ACCUM!AE203</f>
        <v>50247.0936</v>
      </c>
      <c r="O23" s="460">
        <f>ACCUM!AF203</f>
        <v>51102.338400000001</v>
      </c>
      <c r="P23" s="460">
        <f>ACCUM!AG203</f>
        <v>52396.480800000005</v>
      </c>
      <c r="Q23" s="460">
        <f>ACCUM!AH203</f>
        <v>53273.649599999997</v>
      </c>
      <c r="R23" s="460">
        <f>ACCUM!AI203</f>
        <v>54129.103199999998</v>
      </c>
      <c r="S23" s="460">
        <f>ACCUM!AJ203</f>
        <v>55444.960799999993</v>
      </c>
      <c r="T23" s="460">
        <f>ACCUM!AK203</f>
        <v>56300.414400000001</v>
      </c>
      <c r="U23" s="460">
        <f>ACCUM!AL203</f>
        <v>57177.583200000001</v>
      </c>
      <c r="V23" s="460">
        <f>ACCUM!AM203</f>
        <v>58033.036800000002</v>
      </c>
      <c r="W23" s="460">
        <f>ACCUM!AN203</f>
        <v>59326.970399999998</v>
      </c>
      <c r="X23" s="460">
        <f>ACCUM!AO203</f>
        <v>59326.970399999998</v>
      </c>
      <c r="Y23" s="460">
        <f>ACCUM!AP203</f>
        <v>59326.970399999998</v>
      </c>
      <c r="Z23" s="460">
        <f>ACCUM!AQ203</f>
        <v>59326.970399999998</v>
      </c>
      <c r="AA23" s="461">
        <f>ACCUM!AR203</f>
        <v>60204.347999999998</v>
      </c>
      <c r="AB23" s="481"/>
      <c r="AC23" s="481"/>
      <c r="AD23" s="474"/>
      <c r="AE23" s="474"/>
      <c r="AF23" s="481"/>
      <c r="AG23" s="481"/>
      <c r="AH23" s="481"/>
      <c r="AI23" s="481"/>
      <c r="AJ23" s="481"/>
      <c r="AK23" s="481"/>
      <c r="AL23" s="481"/>
      <c r="AM23" s="481"/>
      <c r="AN23" s="481"/>
      <c r="AO23" s="481"/>
      <c r="AP23" s="481"/>
    </row>
    <row r="24" spans="1:42" ht="25.5" customHeight="1" x14ac:dyDescent="0.35">
      <c r="A24" s="498" t="s">
        <v>360</v>
      </c>
      <c r="B24" s="499">
        <v>15</v>
      </c>
      <c r="C24" s="499">
        <v>261</v>
      </c>
      <c r="D24" s="500">
        <v>8</v>
      </c>
      <c r="E24" s="472"/>
      <c r="F24" s="483">
        <v>19</v>
      </c>
      <c r="G24" s="459">
        <f>ACCUM!X204</f>
        <v>44171.8488</v>
      </c>
      <c r="H24" s="460">
        <f>ACCUM!Y204</f>
        <v>45070.941599999998</v>
      </c>
      <c r="I24" s="460">
        <f>ACCUM!Z204</f>
        <v>46387.008000000002</v>
      </c>
      <c r="J24" s="460">
        <f>ACCUM!AA204</f>
        <v>47264.176800000001</v>
      </c>
      <c r="K24" s="460">
        <f>ACCUM!AB204</f>
        <v>48163.4784</v>
      </c>
      <c r="L24" s="460">
        <f>ACCUM!AC204</f>
        <v>49040.647199999999</v>
      </c>
      <c r="M24" s="460">
        <f>ACCUM!AD204</f>
        <v>50356.713600000003</v>
      </c>
      <c r="N24" s="460">
        <f>ACCUM!AE204</f>
        <v>51255.806399999994</v>
      </c>
      <c r="O24" s="460">
        <f>ACCUM!AF204</f>
        <v>52133.184000000001</v>
      </c>
      <c r="P24" s="460">
        <f>ACCUM!AG204</f>
        <v>53449.041599999997</v>
      </c>
      <c r="Q24" s="460">
        <f>ACCUM!AH204</f>
        <v>54348.343200000003</v>
      </c>
      <c r="R24" s="460">
        <f>ACCUM!AI204</f>
        <v>55225.720800000003</v>
      </c>
      <c r="S24" s="460">
        <f>ACCUM!AJ204</f>
        <v>56541.578399999999</v>
      </c>
      <c r="T24" s="460">
        <f>ACCUM!AK204</f>
        <v>57440.880000000005</v>
      </c>
      <c r="U24" s="460">
        <f>ACCUM!AL204</f>
        <v>58318.048799999997</v>
      </c>
      <c r="V24" s="460">
        <f>ACCUM!AM204</f>
        <v>59195.426400000004</v>
      </c>
      <c r="W24" s="460">
        <f>ACCUM!AN204</f>
        <v>60533.207999999999</v>
      </c>
      <c r="X24" s="460">
        <f>ACCUM!AO204</f>
        <v>60533.207999999999</v>
      </c>
      <c r="Y24" s="460">
        <f>ACCUM!AP204</f>
        <v>60533.207999999999</v>
      </c>
      <c r="Z24" s="460">
        <f>ACCUM!AQ204</f>
        <v>60533.207999999999</v>
      </c>
      <c r="AA24" s="461">
        <f>ACCUM!AR204</f>
        <v>61410.585599999999</v>
      </c>
      <c r="AB24" s="481"/>
      <c r="AC24" s="481"/>
      <c r="AD24" s="474"/>
      <c r="AE24" s="474"/>
      <c r="AF24" s="481"/>
      <c r="AG24" s="481"/>
      <c r="AH24" s="481"/>
      <c r="AI24" s="481"/>
      <c r="AJ24" s="481"/>
      <c r="AK24" s="481"/>
      <c r="AL24" s="481"/>
      <c r="AM24" s="481"/>
      <c r="AN24" s="481"/>
      <c r="AO24" s="481"/>
      <c r="AP24" s="481"/>
    </row>
    <row r="25" spans="1:42" ht="19.899999999999999" customHeight="1" x14ac:dyDescent="0.35">
      <c r="A25" s="492" t="s">
        <v>361</v>
      </c>
      <c r="B25" s="493">
        <v>15</v>
      </c>
      <c r="C25" s="493">
        <v>261</v>
      </c>
      <c r="D25" s="494">
        <v>8</v>
      </c>
      <c r="E25" s="472"/>
      <c r="F25" s="483">
        <v>20</v>
      </c>
      <c r="G25" s="459">
        <f>ACCUM!X205</f>
        <v>45070.941599999998</v>
      </c>
      <c r="H25" s="460">
        <f>ACCUM!Y205</f>
        <v>45970.243200000004</v>
      </c>
      <c r="I25" s="460">
        <f>ACCUM!Z205</f>
        <v>47308.024799999999</v>
      </c>
      <c r="J25" s="460">
        <f>ACCUM!AA205</f>
        <v>48207.326400000005</v>
      </c>
      <c r="K25" s="460">
        <f>ACCUM!AB205</f>
        <v>49106.627999999997</v>
      </c>
      <c r="L25" s="460">
        <f>ACCUM!AC205</f>
        <v>50027.644799999995</v>
      </c>
      <c r="M25" s="460">
        <f>ACCUM!AD205</f>
        <v>51365.635200000004</v>
      </c>
      <c r="N25" s="460">
        <f>ACCUM!AE205</f>
        <v>52264.727999999996</v>
      </c>
      <c r="O25" s="460">
        <f>ACCUM!AF205</f>
        <v>53164.029600000002</v>
      </c>
      <c r="P25" s="460">
        <f>ACCUM!AG205</f>
        <v>54523.735200000003</v>
      </c>
      <c r="Q25" s="460">
        <f>ACCUM!AH205</f>
        <v>55423.036800000002</v>
      </c>
      <c r="R25" s="460">
        <f>ACCUM!AI205</f>
        <v>56322.338400000001</v>
      </c>
      <c r="S25" s="460">
        <f>ACCUM!AJ205</f>
        <v>57682.043999999994</v>
      </c>
      <c r="T25" s="460">
        <f>ACCUM!AK205</f>
        <v>58581.345600000001</v>
      </c>
      <c r="U25" s="460">
        <f>ACCUM!AL205</f>
        <v>59480.438399999999</v>
      </c>
      <c r="V25" s="460">
        <f>ACCUM!AM205</f>
        <v>60379.74</v>
      </c>
      <c r="W25" s="460">
        <f>ACCUM!AN205</f>
        <v>61739.654399999999</v>
      </c>
      <c r="X25" s="460">
        <f>ACCUM!AO205</f>
        <v>61739.654399999999</v>
      </c>
      <c r="Y25" s="460">
        <f>ACCUM!AP205</f>
        <v>61739.654399999999</v>
      </c>
      <c r="Z25" s="460">
        <f>ACCUM!AQ205</f>
        <v>61739.654399999999</v>
      </c>
      <c r="AA25" s="461">
        <f>ACCUM!AR205</f>
        <v>62638.747200000005</v>
      </c>
      <c r="AB25" s="481"/>
      <c r="AC25" s="481"/>
      <c r="AD25" s="474"/>
      <c r="AE25" s="474"/>
      <c r="AF25" s="481"/>
      <c r="AG25" s="481"/>
      <c r="AH25" s="481"/>
      <c r="AI25" s="481"/>
      <c r="AJ25" s="481"/>
      <c r="AK25" s="481"/>
      <c r="AL25" s="481"/>
      <c r="AM25" s="481"/>
      <c r="AN25" s="481"/>
      <c r="AO25" s="481"/>
      <c r="AP25" s="481"/>
    </row>
    <row r="26" spans="1:42" ht="26.25" customHeight="1" x14ac:dyDescent="0.35">
      <c r="A26" s="498" t="s">
        <v>362</v>
      </c>
      <c r="B26" s="499">
        <v>16</v>
      </c>
      <c r="C26" s="499">
        <v>261</v>
      </c>
      <c r="D26" s="500">
        <v>8</v>
      </c>
      <c r="E26" s="472"/>
      <c r="F26" s="483">
        <v>21</v>
      </c>
      <c r="G26" s="459">
        <f>ACCUM!X206</f>
        <v>45970.243200000004</v>
      </c>
      <c r="H26" s="460">
        <f>ACCUM!Y206</f>
        <v>46891.468799999995</v>
      </c>
      <c r="I26" s="460">
        <f>ACCUM!Z206</f>
        <v>48251.174399999996</v>
      </c>
      <c r="J26" s="460">
        <f>ACCUM!AA206</f>
        <v>49172.4</v>
      </c>
      <c r="K26" s="460">
        <f>ACCUM!AB206</f>
        <v>50093.416799999999</v>
      </c>
      <c r="L26" s="460">
        <f>ACCUM!AC206</f>
        <v>51014.642400000004</v>
      </c>
      <c r="M26" s="460">
        <f>ACCUM!AD206</f>
        <v>52396.480800000005</v>
      </c>
      <c r="N26" s="460">
        <f>ACCUM!AE206</f>
        <v>53317.497600000002</v>
      </c>
      <c r="O26" s="460">
        <f>ACCUM!AF206</f>
        <v>54238.7232</v>
      </c>
      <c r="P26" s="460">
        <f>ACCUM!AG206</f>
        <v>55620.352800000001</v>
      </c>
      <c r="Q26" s="460">
        <f>ACCUM!AH206</f>
        <v>56541.578399999999</v>
      </c>
      <c r="R26" s="460">
        <f>ACCUM!AI206</f>
        <v>57462.803999999996</v>
      </c>
      <c r="S26" s="460">
        <f>ACCUM!AJ206</f>
        <v>58822.509600000005</v>
      </c>
      <c r="T26" s="460">
        <f>ACCUM!AK206</f>
        <v>59743.735200000003</v>
      </c>
      <c r="U26" s="460">
        <f>ACCUM!AL206</f>
        <v>60664.960799999993</v>
      </c>
      <c r="V26" s="460">
        <f>ACCUM!AM206</f>
        <v>61585.977599999998</v>
      </c>
      <c r="W26" s="460">
        <f>ACCUM!AN206</f>
        <v>62967.815999999999</v>
      </c>
      <c r="X26" s="460">
        <f>ACCUM!AO206</f>
        <v>62967.815999999999</v>
      </c>
      <c r="Y26" s="460">
        <f>ACCUM!AP206</f>
        <v>62967.815999999999</v>
      </c>
      <c r="Z26" s="460">
        <f>ACCUM!AQ206</f>
        <v>62967.815999999999</v>
      </c>
      <c r="AA26" s="461">
        <f>ACCUM!AR206</f>
        <v>63889.041599999997</v>
      </c>
      <c r="AB26" s="481"/>
      <c r="AC26" s="481"/>
      <c r="AD26" s="481"/>
      <c r="AE26" s="481"/>
      <c r="AF26" s="481"/>
      <c r="AG26" s="481"/>
      <c r="AH26" s="481"/>
      <c r="AI26" s="481"/>
      <c r="AJ26" s="481"/>
      <c r="AK26" s="481"/>
      <c r="AL26" s="481"/>
      <c r="AM26" s="481"/>
      <c r="AN26" s="481"/>
      <c r="AO26" s="481"/>
      <c r="AP26" s="481"/>
    </row>
    <row r="27" spans="1:42" ht="19.899999999999999" customHeight="1" x14ac:dyDescent="0.35">
      <c r="A27" s="492" t="s">
        <v>363</v>
      </c>
      <c r="B27" s="493">
        <v>17</v>
      </c>
      <c r="C27" s="493">
        <v>226</v>
      </c>
      <c r="D27" s="494">
        <v>8</v>
      </c>
      <c r="E27" s="472"/>
      <c r="F27" s="483">
        <v>22</v>
      </c>
      <c r="G27" s="459">
        <f>ACCUM!X207</f>
        <v>49347.792000000001</v>
      </c>
      <c r="H27" s="460">
        <f>ACCUM!Y207</f>
        <v>50334.789599999996</v>
      </c>
      <c r="I27" s="460">
        <f>ACCUM!Z207</f>
        <v>51826.248</v>
      </c>
      <c r="J27" s="460">
        <f>ACCUM!AA207</f>
        <v>52813.036800000002</v>
      </c>
      <c r="K27" s="460">
        <f>ACCUM!AB207</f>
        <v>53800.034400000004</v>
      </c>
      <c r="L27" s="460">
        <f>ACCUM!AC207</f>
        <v>54787.031999999999</v>
      </c>
      <c r="M27" s="460">
        <f>ACCUM!AD207</f>
        <v>56256.566399999996</v>
      </c>
      <c r="N27" s="460">
        <f>ACCUM!AE207</f>
        <v>57243.355200000005</v>
      </c>
      <c r="O27" s="460">
        <f>ACCUM!AF207</f>
        <v>58230.352800000001</v>
      </c>
      <c r="P27" s="460">
        <f>ACCUM!AG207</f>
        <v>59721.811199999996</v>
      </c>
      <c r="Q27" s="460">
        <f>ACCUM!AH207</f>
        <v>60708.808799999999</v>
      </c>
      <c r="R27" s="460">
        <f>ACCUM!AI207</f>
        <v>61695.806399999994</v>
      </c>
      <c r="S27" s="460">
        <f>ACCUM!AJ207</f>
        <v>63165.131999999998</v>
      </c>
      <c r="T27" s="460">
        <f>ACCUM!AK207</f>
        <v>64152.1296</v>
      </c>
      <c r="U27" s="460">
        <f>ACCUM!AL207</f>
        <v>65139.127199999995</v>
      </c>
      <c r="V27" s="460">
        <f>ACCUM!AM207</f>
        <v>66126.124800000005</v>
      </c>
      <c r="W27" s="460">
        <f>ACCUM!AN207</f>
        <v>67617.374400000001</v>
      </c>
      <c r="X27" s="460">
        <f>ACCUM!AO207</f>
        <v>67617.374400000001</v>
      </c>
      <c r="Y27" s="460">
        <f>ACCUM!AP207</f>
        <v>67617.374400000001</v>
      </c>
      <c r="Z27" s="460">
        <f>ACCUM!AQ207</f>
        <v>67617.374400000001</v>
      </c>
      <c r="AA27" s="461">
        <f>ACCUM!AR207</f>
        <v>68604.371999999988</v>
      </c>
      <c r="AB27" s="481"/>
      <c r="AC27" s="481"/>
      <c r="AD27" s="481"/>
      <c r="AE27" s="481"/>
      <c r="AF27" s="481"/>
      <c r="AG27" s="481"/>
      <c r="AH27" s="481"/>
      <c r="AI27" s="481"/>
      <c r="AJ27" s="481"/>
      <c r="AK27" s="481"/>
      <c r="AL27" s="481"/>
      <c r="AM27" s="481"/>
      <c r="AN27" s="481"/>
      <c r="AO27" s="481"/>
      <c r="AP27" s="481"/>
    </row>
    <row r="28" spans="1:42" ht="29.25" customHeight="1" x14ac:dyDescent="0.35">
      <c r="A28" s="498" t="s">
        <v>364</v>
      </c>
      <c r="B28" s="499">
        <v>17</v>
      </c>
      <c r="C28" s="499">
        <v>232</v>
      </c>
      <c r="D28" s="500">
        <v>7.5</v>
      </c>
      <c r="E28" s="472"/>
      <c r="F28" s="483">
        <v>23</v>
      </c>
      <c r="G28" s="459">
        <f>ACCUM!X208</f>
        <v>51146.186399999999</v>
      </c>
      <c r="H28" s="460">
        <f>ACCUM!Y208</f>
        <v>52177.031999999999</v>
      </c>
      <c r="I28" s="460">
        <f>ACCUM!Z208</f>
        <v>53712.338400000001</v>
      </c>
      <c r="J28" s="460">
        <f>ACCUM!AA208</f>
        <v>54743.184000000001</v>
      </c>
      <c r="K28" s="460">
        <f>ACCUM!AB208</f>
        <v>55752.105600000003</v>
      </c>
      <c r="L28" s="460">
        <f>ACCUM!AC208</f>
        <v>56782.951200000003</v>
      </c>
      <c r="M28" s="460">
        <f>ACCUM!AD208</f>
        <v>58318.048799999997</v>
      </c>
      <c r="N28" s="460">
        <f>ACCUM!AE208</f>
        <v>59348.894399999997</v>
      </c>
      <c r="O28" s="460">
        <f>ACCUM!AF208</f>
        <v>60357.815999999999</v>
      </c>
      <c r="P28" s="460">
        <f>ACCUM!AG208</f>
        <v>61893.1224</v>
      </c>
      <c r="Q28" s="460">
        <f>ACCUM!AH208</f>
        <v>62923.968000000001</v>
      </c>
      <c r="R28" s="460">
        <f>ACCUM!AI208</f>
        <v>63954.813600000001</v>
      </c>
      <c r="S28" s="460">
        <f>ACCUM!AJ208</f>
        <v>65489.911199999995</v>
      </c>
      <c r="T28" s="460">
        <f>ACCUM!AK208</f>
        <v>66498.832800000004</v>
      </c>
      <c r="U28" s="460">
        <f>ACCUM!AL208</f>
        <v>67529.678400000004</v>
      </c>
      <c r="V28" s="460">
        <f>ACCUM!AM208</f>
        <v>68560.524000000005</v>
      </c>
      <c r="W28" s="460">
        <f>ACCUM!AN208</f>
        <v>70073.906399999993</v>
      </c>
      <c r="X28" s="460">
        <f>ACCUM!AO208</f>
        <v>70073.906399999993</v>
      </c>
      <c r="Y28" s="460">
        <f>ACCUM!AP208</f>
        <v>70073.906399999993</v>
      </c>
      <c r="Z28" s="460">
        <f>ACCUM!AQ208</f>
        <v>70073.906399999993</v>
      </c>
      <c r="AA28" s="461">
        <f>ACCUM!AR208</f>
        <v>71104.752000000008</v>
      </c>
      <c r="AB28" s="481"/>
      <c r="AC28" s="481"/>
      <c r="AD28" s="481"/>
      <c r="AE28" s="481"/>
      <c r="AF28" s="481"/>
      <c r="AG28" s="481"/>
      <c r="AH28" s="481"/>
      <c r="AI28" s="481"/>
      <c r="AJ28" s="481"/>
      <c r="AK28" s="481"/>
      <c r="AL28" s="481"/>
      <c r="AM28" s="481"/>
      <c r="AN28" s="481"/>
      <c r="AO28" s="481"/>
      <c r="AP28" s="481"/>
    </row>
    <row r="29" spans="1:42" ht="28.5" customHeight="1" x14ac:dyDescent="0.35">
      <c r="A29" s="492" t="s">
        <v>365</v>
      </c>
      <c r="B29" s="493">
        <v>18</v>
      </c>
      <c r="C29" s="493">
        <v>261</v>
      </c>
      <c r="D29" s="494">
        <v>8</v>
      </c>
      <c r="E29" s="472"/>
      <c r="F29" s="483">
        <v>24</v>
      </c>
      <c r="G29" s="459">
        <f>ACCUM!X209</f>
        <v>53712.338400000001</v>
      </c>
      <c r="H29" s="460">
        <f>ACCUM!Y209</f>
        <v>54787.031999999999</v>
      </c>
      <c r="I29" s="460">
        <f>ACCUM!Z209</f>
        <v>56410.034400000004</v>
      </c>
      <c r="J29" s="460">
        <f>ACCUM!AA209</f>
        <v>57484.727999999996</v>
      </c>
      <c r="K29" s="460">
        <f>ACCUM!AB209</f>
        <v>58559.421600000001</v>
      </c>
      <c r="L29" s="460">
        <f>ACCUM!AC209</f>
        <v>59612.191200000001</v>
      </c>
      <c r="M29" s="460">
        <f>ACCUM!AD209</f>
        <v>61235.193600000006</v>
      </c>
      <c r="N29" s="460">
        <f>ACCUM!AE209</f>
        <v>62309.887199999997</v>
      </c>
      <c r="O29" s="460">
        <f>ACCUM!AF209</f>
        <v>63384.580800000003</v>
      </c>
      <c r="P29" s="460">
        <f>ACCUM!AG209</f>
        <v>64985.659200000002</v>
      </c>
      <c r="Q29" s="460">
        <f>ACCUM!AH209</f>
        <v>66060.144</v>
      </c>
      <c r="R29" s="460">
        <f>ACCUM!AI209</f>
        <v>67134.837599999999</v>
      </c>
      <c r="S29" s="460">
        <f>ACCUM!AJ209</f>
        <v>68757.84</v>
      </c>
      <c r="T29" s="460">
        <f>ACCUM!AK209</f>
        <v>69832.533599999995</v>
      </c>
      <c r="U29" s="460">
        <f>ACCUM!AL209</f>
        <v>70907.227200000008</v>
      </c>
      <c r="V29" s="460">
        <f>ACCUM!AM209</f>
        <v>71981.920800000007</v>
      </c>
      <c r="W29" s="460">
        <f>ACCUM!AN209</f>
        <v>73582.999200000006</v>
      </c>
      <c r="X29" s="460">
        <f>ACCUM!AO209</f>
        <v>73582.999200000006</v>
      </c>
      <c r="Y29" s="460">
        <f>ACCUM!AP209</f>
        <v>73582.999200000006</v>
      </c>
      <c r="Z29" s="460">
        <f>ACCUM!AQ209</f>
        <v>73582.999200000006</v>
      </c>
      <c r="AA29" s="461">
        <f>ACCUM!AR209</f>
        <v>74657.692800000004</v>
      </c>
      <c r="AB29" s="481"/>
      <c r="AC29" s="481"/>
      <c r="AD29" s="481"/>
      <c r="AE29" s="481"/>
      <c r="AF29" s="481"/>
      <c r="AG29" s="481"/>
      <c r="AH29" s="481"/>
      <c r="AI29" s="481"/>
      <c r="AJ29" s="481"/>
      <c r="AK29" s="481"/>
      <c r="AL29" s="481"/>
      <c r="AM29" s="481"/>
      <c r="AN29" s="481"/>
      <c r="AO29" s="481"/>
      <c r="AP29" s="481"/>
    </row>
    <row r="30" spans="1:42" ht="19.899999999999999" customHeight="1" x14ac:dyDescent="0.35">
      <c r="A30" s="498"/>
      <c r="B30" s="499">
        <v>19</v>
      </c>
      <c r="C30" s="499">
        <v>261</v>
      </c>
      <c r="D30" s="500">
        <v>8</v>
      </c>
      <c r="E30" s="472"/>
      <c r="F30" s="483">
        <v>25</v>
      </c>
      <c r="G30" s="459">
        <f>ACCUM!X210</f>
        <v>54787.031999999999</v>
      </c>
      <c r="H30" s="460">
        <f>ACCUM!Y210</f>
        <v>55883.649599999997</v>
      </c>
      <c r="I30" s="460">
        <f>ACCUM!Z210</f>
        <v>57528.576000000001</v>
      </c>
      <c r="J30" s="460">
        <f>ACCUM!AA210</f>
        <v>58625.193600000006</v>
      </c>
      <c r="K30" s="460">
        <f>ACCUM!AB210</f>
        <v>59721.811199999996</v>
      </c>
      <c r="L30" s="460">
        <f>ACCUM!AC210</f>
        <v>60818.428800000002</v>
      </c>
      <c r="M30" s="460">
        <f>ACCUM!AD210</f>
        <v>62463.355200000005</v>
      </c>
      <c r="N30" s="460">
        <f>ACCUM!AE210</f>
        <v>63559.972800000003</v>
      </c>
      <c r="O30" s="460">
        <f>ACCUM!AF210</f>
        <v>64656.590400000001</v>
      </c>
      <c r="P30" s="460">
        <f>ACCUM!AG210</f>
        <v>66301.516799999998</v>
      </c>
      <c r="Q30" s="460">
        <f>ACCUM!AH210</f>
        <v>67398.134399999995</v>
      </c>
      <c r="R30" s="460">
        <f>ACCUM!AI210</f>
        <v>68494.752000000008</v>
      </c>
      <c r="S30" s="460">
        <f>ACCUM!AJ210</f>
        <v>70139.678400000004</v>
      </c>
      <c r="T30" s="460">
        <f>ACCUM!AK210</f>
        <v>71214.371999999988</v>
      </c>
      <c r="U30" s="460">
        <f>ACCUM!AL210</f>
        <v>72310.989600000001</v>
      </c>
      <c r="V30" s="460">
        <f>ACCUM!AM210</f>
        <v>73407.607199999999</v>
      </c>
      <c r="W30" s="460">
        <f>ACCUM!AN210</f>
        <v>75052.533599999995</v>
      </c>
      <c r="X30" s="460">
        <f>ACCUM!AO210</f>
        <v>75052.533599999995</v>
      </c>
      <c r="Y30" s="460">
        <f>ACCUM!AP210</f>
        <v>75052.533599999995</v>
      </c>
      <c r="Z30" s="460">
        <f>ACCUM!AQ210</f>
        <v>75052.533599999995</v>
      </c>
      <c r="AA30" s="461">
        <f>ACCUM!AR210</f>
        <v>76149.151200000008</v>
      </c>
      <c r="AB30" s="481"/>
      <c r="AC30" s="481"/>
      <c r="AD30" s="481"/>
      <c r="AE30" s="481"/>
      <c r="AF30" s="481"/>
      <c r="AG30" s="481"/>
      <c r="AH30" s="481"/>
      <c r="AI30" s="481"/>
      <c r="AJ30" s="481"/>
      <c r="AK30" s="481"/>
      <c r="AL30" s="481"/>
      <c r="AM30" s="481"/>
      <c r="AN30" s="481"/>
      <c r="AO30" s="481"/>
      <c r="AP30" s="481"/>
    </row>
    <row r="31" spans="1:42" ht="15" thickBot="1" x14ac:dyDescent="0.4">
      <c r="A31" s="492"/>
      <c r="B31" s="493">
        <v>20</v>
      </c>
      <c r="C31" s="493">
        <v>261</v>
      </c>
      <c r="D31" s="494">
        <v>8</v>
      </c>
      <c r="E31" s="472"/>
      <c r="F31" s="484">
        <v>26</v>
      </c>
      <c r="G31" s="462">
        <f>ACCUM!X211</f>
        <v>55883.649599999997</v>
      </c>
      <c r="H31" s="463">
        <f>ACCUM!Y211</f>
        <v>57002.191200000001</v>
      </c>
      <c r="I31" s="463">
        <f>ACCUM!Z211</f>
        <v>58669.041599999997</v>
      </c>
      <c r="J31" s="463">
        <f>ACCUM!AA211</f>
        <v>59787.583200000001</v>
      </c>
      <c r="K31" s="463">
        <f>ACCUM!AB211</f>
        <v>60906.124799999998</v>
      </c>
      <c r="L31" s="463">
        <f>ACCUM!AC211</f>
        <v>62024.666400000002</v>
      </c>
      <c r="M31" s="463">
        <f>ACCUM!AD211</f>
        <v>63713.440799999997</v>
      </c>
      <c r="N31" s="463">
        <f>ACCUM!AE211</f>
        <v>64831.982400000001</v>
      </c>
      <c r="O31" s="463">
        <f>ACCUM!AF211</f>
        <v>65950.524000000005</v>
      </c>
      <c r="P31" s="463">
        <f>ACCUM!AG211</f>
        <v>67617.374400000001</v>
      </c>
      <c r="Q31" s="463">
        <f>ACCUM!AH211</f>
        <v>68735.915999999997</v>
      </c>
      <c r="R31" s="463">
        <f>ACCUM!AI211</f>
        <v>69854.457599999994</v>
      </c>
      <c r="S31" s="463">
        <f>ACCUM!AJ211</f>
        <v>71521.308000000005</v>
      </c>
      <c r="T31" s="463">
        <f>ACCUM!AK211</f>
        <v>72639.849600000001</v>
      </c>
      <c r="U31" s="463">
        <f>ACCUM!AL211</f>
        <v>73758.600000000006</v>
      </c>
      <c r="V31" s="463">
        <f>ACCUM!AM211</f>
        <v>74877.141600000003</v>
      </c>
      <c r="W31" s="463">
        <f>ACCUM!AN211</f>
        <v>76565.915999999997</v>
      </c>
      <c r="X31" s="463">
        <f>ACCUM!AO211</f>
        <v>76565.915999999997</v>
      </c>
      <c r="Y31" s="463">
        <f>ACCUM!AP211</f>
        <v>76565.915999999997</v>
      </c>
      <c r="Z31" s="463">
        <f>ACCUM!AQ211</f>
        <v>76565.915999999997</v>
      </c>
      <c r="AA31" s="464">
        <f>ACCUM!AR211</f>
        <v>77684.457599999994</v>
      </c>
    </row>
    <row r="32" spans="1:42" ht="25" x14ac:dyDescent="0.25">
      <c r="A32" s="498" t="s">
        <v>366</v>
      </c>
      <c r="B32" s="499">
        <v>21</v>
      </c>
      <c r="C32" s="499">
        <v>226</v>
      </c>
      <c r="D32" s="500">
        <v>8</v>
      </c>
      <c r="E32" s="472"/>
      <c r="F32" s="473"/>
    </row>
    <row r="33" spans="1:8" ht="14.5" x14ac:dyDescent="0.25">
      <c r="A33" s="492" t="s">
        <v>367</v>
      </c>
      <c r="B33" s="493">
        <v>21</v>
      </c>
      <c r="C33" s="493">
        <v>206</v>
      </c>
      <c r="D33" s="494">
        <v>7.5</v>
      </c>
      <c r="E33" s="472"/>
      <c r="F33" s="473"/>
      <c r="H33" s="485" t="s">
        <v>340</v>
      </c>
    </row>
    <row r="34" spans="1:8" ht="42" customHeight="1" x14ac:dyDescent="0.25">
      <c r="A34" s="498" t="s">
        <v>368</v>
      </c>
      <c r="B34" s="499">
        <v>22</v>
      </c>
      <c r="C34" s="499">
        <v>261</v>
      </c>
      <c r="D34" s="500">
        <v>8</v>
      </c>
      <c r="E34" s="472"/>
      <c r="F34" s="473"/>
      <c r="H34" s="485"/>
    </row>
    <row r="35" spans="1:8" ht="62.25" customHeight="1" x14ac:dyDescent="0.25">
      <c r="A35" s="492" t="s">
        <v>369</v>
      </c>
      <c r="B35" s="493">
        <v>23</v>
      </c>
      <c r="C35" s="493">
        <v>261</v>
      </c>
      <c r="D35" s="494">
        <v>8</v>
      </c>
      <c r="E35" s="472"/>
    </row>
    <row r="36" spans="1:8" ht="14.5" x14ac:dyDescent="0.25">
      <c r="A36" s="498" t="s">
        <v>370</v>
      </c>
      <c r="B36" s="499">
        <v>24</v>
      </c>
      <c r="C36" s="499">
        <v>261</v>
      </c>
      <c r="D36" s="500">
        <v>8</v>
      </c>
      <c r="E36" s="472"/>
    </row>
    <row r="37" spans="1:8" ht="37.5" x14ac:dyDescent="0.25">
      <c r="A37" s="492" t="s">
        <v>371</v>
      </c>
      <c r="B37" s="493">
        <v>25</v>
      </c>
      <c r="C37" s="493">
        <v>261</v>
      </c>
      <c r="D37" s="494">
        <v>8</v>
      </c>
      <c r="E37" s="472"/>
    </row>
    <row r="38" spans="1:8" ht="38" thickBot="1" x14ac:dyDescent="0.3">
      <c r="A38" s="501" t="s">
        <v>372</v>
      </c>
      <c r="B38" s="502">
        <v>26</v>
      </c>
      <c r="C38" s="502">
        <v>261</v>
      </c>
      <c r="D38" s="503">
        <v>8</v>
      </c>
      <c r="E38" s="472"/>
    </row>
  </sheetData>
  <mergeCells count="1">
    <mergeCell ref="F3:AA3"/>
  </mergeCells>
  <printOptions horizontalCentered="1"/>
  <pageMargins left="0.7" right="0.7" top="0.75" bottom="0.75" header="0.3" footer="0.3"/>
  <pageSetup scale="29" orientation="landscape" r:id="rId1"/>
  <headerFooter alignWithMargins="0">
    <oddFooter>&amp;L&amp;"Arial,Bold"&amp;F&amp;C&amp;"Arial,Bold"&amp;D &amp;R&amp;"Arial,Bold"Appendix D-1</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44469-30B1-49B2-A055-7A1D8988E7EF}">
  <sheetPr codeName="Sheet41">
    <pageSetUpPr fitToPage="1"/>
  </sheetPr>
  <dimension ref="A1:AT44"/>
  <sheetViews>
    <sheetView showGridLines="0" view="pageLayout" zoomScaleNormal="120" workbookViewId="0">
      <selection activeCell="A6" sqref="A6"/>
    </sheetView>
  </sheetViews>
  <sheetFormatPr defaultColWidth="10.7265625" defaultRowHeight="12.5" x14ac:dyDescent="0.25"/>
  <cols>
    <col min="1" max="1" width="27.54296875" style="471" customWidth="1"/>
    <col min="2" max="3" width="10.7265625" style="471"/>
    <col min="4" max="4" width="8.1796875" style="504" customWidth="1"/>
    <col min="5" max="5" width="10.7265625" style="471"/>
    <col min="6" max="6" width="10" style="473" customWidth="1"/>
    <col min="7" max="27" width="10" style="471" customWidth="1"/>
    <col min="28" max="30" width="8.7265625" style="471" customWidth="1"/>
    <col min="31" max="31" width="9.26953125" style="471" customWidth="1"/>
    <col min="32" max="33" width="8.7265625" style="471" customWidth="1"/>
    <col min="34" max="37" width="9.1796875" style="471" customWidth="1"/>
    <col min="38" max="39" width="8.54296875" style="471" customWidth="1"/>
    <col min="40" max="41" width="8.81640625" style="471" customWidth="1"/>
    <col min="42" max="42" width="8.54296875" style="471" customWidth="1"/>
    <col min="43" max="43" width="9" style="471" customWidth="1"/>
    <col min="44" max="44" width="8.453125" style="471" customWidth="1"/>
    <col min="45" max="16384" width="10.7265625" style="471"/>
  </cols>
  <sheetData>
    <row r="1" spans="1:46" ht="13" thickBot="1" x14ac:dyDescent="0.3"/>
    <row r="2" spans="1:46" s="469" customFormat="1" ht="27.75" customHeight="1" thickBot="1" x14ac:dyDescent="0.4">
      <c r="A2" s="514" t="s">
        <v>342</v>
      </c>
      <c r="B2" s="515" t="s">
        <v>318</v>
      </c>
      <c r="C2" s="515" t="s">
        <v>343</v>
      </c>
      <c r="D2" s="516" t="s">
        <v>344</v>
      </c>
      <c r="F2" s="538" t="s">
        <v>317</v>
      </c>
      <c r="G2" s="539"/>
      <c r="H2" s="539"/>
      <c r="I2" s="539"/>
      <c r="J2" s="539"/>
      <c r="K2" s="539"/>
      <c r="L2" s="539"/>
      <c r="M2" s="539"/>
      <c r="N2" s="539"/>
      <c r="O2" s="539"/>
      <c r="P2" s="539"/>
      <c r="Q2" s="539"/>
      <c r="R2" s="539"/>
      <c r="S2" s="539"/>
      <c r="T2" s="539"/>
      <c r="U2" s="539"/>
      <c r="V2" s="539"/>
      <c r="W2" s="539"/>
      <c r="X2" s="539"/>
      <c r="Y2" s="539"/>
      <c r="Z2" s="539"/>
      <c r="AA2" s="540"/>
    </row>
    <row r="3" spans="1:46" ht="15" thickBot="1" x14ac:dyDescent="0.3">
      <c r="A3" s="505" t="s">
        <v>373</v>
      </c>
      <c r="B3" s="506">
        <v>27</v>
      </c>
      <c r="C3" s="506">
        <v>192</v>
      </c>
      <c r="D3" s="507">
        <v>7.5</v>
      </c>
      <c r="H3" s="471" t="s">
        <v>0</v>
      </c>
      <c r="I3" s="471" t="s">
        <v>0</v>
      </c>
      <c r="J3" s="471" t="s">
        <v>0</v>
      </c>
      <c r="K3" s="471" t="s">
        <v>0</v>
      </c>
      <c r="L3" s="471" t="s">
        <v>0</v>
      </c>
      <c r="M3" s="471" t="s">
        <v>0</v>
      </c>
      <c r="N3" s="471" t="s">
        <v>0</v>
      </c>
      <c r="O3" s="471" t="s">
        <v>0</v>
      </c>
      <c r="P3" s="471" t="s">
        <v>0</v>
      </c>
      <c r="Q3" s="471" t="s">
        <v>0</v>
      </c>
      <c r="R3" s="471" t="s">
        <v>0</v>
      </c>
      <c r="S3" s="471" t="s">
        <v>0</v>
      </c>
      <c r="T3" s="471" t="s">
        <v>0</v>
      </c>
      <c r="U3" s="471" t="s">
        <v>0</v>
      </c>
      <c r="V3" s="471" t="s">
        <v>0</v>
      </c>
      <c r="W3" s="471" t="s">
        <v>0</v>
      </c>
      <c r="X3" s="471" t="s">
        <v>0</v>
      </c>
      <c r="Y3" s="471" t="s">
        <v>0</v>
      </c>
      <c r="Z3" s="471" t="s">
        <v>0</v>
      </c>
      <c r="AA3" s="471" t="s">
        <v>0</v>
      </c>
      <c r="AB3" s="471" t="s">
        <v>0</v>
      </c>
      <c r="AC3" s="471" t="s">
        <v>0</v>
      </c>
      <c r="AD3" s="471" t="s">
        <v>0</v>
      </c>
    </row>
    <row r="4" spans="1:46" s="477" customFormat="1" ht="25.15" customHeight="1" thickBot="1" x14ac:dyDescent="0.3">
      <c r="A4" s="517" t="s">
        <v>374</v>
      </c>
      <c r="B4" s="518">
        <v>27</v>
      </c>
      <c r="C4" s="518">
        <v>196</v>
      </c>
      <c r="D4" s="519">
        <v>7.5</v>
      </c>
      <c r="F4" s="478" t="s">
        <v>318</v>
      </c>
      <c r="G4" s="479" t="s">
        <v>319</v>
      </c>
      <c r="H4" s="479" t="s">
        <v>320</v>
      </c>
      <c r="I4" s="479" t="s">
        <v>321</v>
      </c>
      <c r="J4" s="479" t="s">
        <v>322</v>
      </c>
      <c r="K4" s="479" t="s">
        <v>323</v>
      </c>
      <c r="L4" s="479" t="s">
        <v>324</v>
      </c>
      <c r="M4" s="479" t="s">
        <v>325</v>
      </c>
      <c r="N4" s="479" t="s">
        <v>326</v>
      </c>
      <c r="O4" s="479" t="s">
        <v>327</v>
      </c>
      <c r="P4" s="479" t="s">
        <v>328</v>
      </c>
      <c r="Q4" s="479" t="s">
        <v>329</v>
      </c>
      <c r="R4" s="479" t="s">
        <v>330</v>
      </c>
      <c r="S4" s="479" t="s">
        <v>331</v>
      </c>
      <c r="T4" s="479" t="s">
        <v>332</v>
      </c>
      <c r="U4" s="479" t="s">
        <v>333</v>
      </c>
      <c r="V4" s="479" t="s">
        <v>334</v>
      </c>
      <c r="W4" s="479" t="s">
        <v>335</v>
      </c>
      <c r="X4" s="479" t="s">
        <v>336</v>
      </c>
      <c r="Y4" s="479" t="s">
        <v>337</v>
      </c>
      <c r="Z4" s="479" t="s">
        <v>338</v>
      </c>
      <c r="AA4" s="480" t="s">
        <v>339</v>
      </c>
      <c r="AB4" s="475"/>
      <c r="AC4" s="475"/>
      <c r="AD4" s="475"/>
      <c r="AE4" s="475"/>
      <c r="AF4" s="474"/>
      <c r="AG4" s="474"/>
      <c r="AH4" s="475"/>
      <c r="AI4" s="475"/>
      <c r="AJ4" s="475"/>
      <c r="AK4" s="475"/>
      <c r="AL4" s="475"/>
      <c r="AM4" s="475"/>
      <c r="AN4" s="475"/>
      <c r="AO4" s="475"/>
      <c r="AP4" s="475"/>
      <c r="AQ4" s="475"/>
      <c r="AR4" s="475"/>
      <c r="AS4" s="476"/>
      <c r="AT4" s="476"/>
    </row>
    <row r="5" spans="1:46" ht="24.75" customHeight="1" x14ac:dyDescent="0.35">
      <c r="A5" s="508" t="s">
        <v>375</v>
      </c>
      <c r="B5" s="509">
        <v>27</v>
      </c>
      <c r="C5" s="509">
        <v>261</v>
      </c>
      <c r="D5" s="510">
        <v>8</v>
      </c>
      <c r="F5" s="483">
        <v>27</v>
      </c>
      <c r="G5" s="456">
        <f>ACCUM!X212</f>
        <v>61585.977599999998</v>
      </c>
      <c r="H5" s="457">
        <f>ACCUM!Y212</f>
        <v>62814.347999999998</v>
      </c>
      <c r="I5" s="457">
        <f>ACCUM!Z212</f>
        <v>64656.590400000001</v>
      </c>
      <c r="J5" s="457">
        <f>ACCUM!AA212</f>
        <v>65906.675999999992</v>
      </c>
      <c r="K5" s="457">
        <f>ACCUM!AB212</f>
        <v>67134.837599999999</v>
      </c>
      <c r="L5" s="457">
        <f>ACCUM!AC212</f>
        <v>68363.207999999999</v>
      </c>
      <c r="M5" s="457">
        <f>ACCUM!AD212</f>
        <v>70205.450400000002</v>
      </c>
      <c r="N5" s="457">
        <f>ACCUM!AE212</f>
        <v>71433.612000000008</v>
      </c>
      <c r="O5" s="457">
        <f>ACCUM!AF212</f>
        <v>72661.982399999994</v>
      </c>
      <c r="P5" s="457">
        <f>ACCUM!AG212</f>
        <v>74526.148799999995</v>
      </c>
      <c r="Q5" s="457">
        <f>ACCUM!AH212</f>
        <v>75754.310400000002</v>
      </c>
      <c r="R5" s="457">
        <f>ACCUM!AI212</f>
        <v>76982.471999999994</v>
      </c>
      <c r="S5" s="457">
        <f>ACCUM!AJ212</f>
        <v>78824.92319999999</v>
      </c>
      <c r="T5" s="457">
        <f>ACCUM!AK212</f>
        <v>80053.084799999997</v>
      </c>
      <c r="U5" s="457">
        <f>ACCUM!AL212</f>
        <v>81303.170400000003</v>
      </c>
      <c r="V5" s="457">
        <f>ACCUM!AM212</f>
        <v>82531.540800000002</v>
      </c>
      <c r="W5" s="457">
        <f>ACCUM!AN212</f>
        <v>84373.783200000005</v>
      </c>
      <c r="X5" s="457">
        <f>ACCUM!AO212</f>
        <v>84373.783200000005</v>
      </c>
      <c r="Y5" s="457">
        <f>ACCUM!AP212</f>
        <v>84373.783200000005</v>
      </c>
      <c r="Z5" s="457">
        <f>ACCUM!AQ212</f>
        <v>84373.783200000005</v>
      </c>
      <c r="AA5" s="458">
        <f>ACCUM!AR212</f>
        <v>85601.944800000012</v>
      </c>
      <c r="AB5" s="481"/>
      <c r="AC5" s="481"/>
      <c r="AD5" s="481"/>
      <c r="AE5" s="481"/>
      <c r="AF5" s="481"/>
      <c r="AG5" s="481"/>
      <c r="AH5" s="481"/>
      <c r="AI5" s="481"/>
      <c r="AJ5" s="481"/>
      <c r="AK5" s="481"/>
      <c r="AL5" s="481"/>
      <c r="AM5" s="481"/>
      <c r="AN5" s="481"/>
      <c r="AO5" s="481"/>
      <c r="AP5" s="481"/>
      <c r="AQ5" s="481"/>
      <c r="AR5" s="481"/>
      <c r="AS5" s="481"/>
      <c r="AT5" s="481"/>
    </row>
    <row r="6" spans="1:46" ht="23.25" customHeight="1" x14ac:dyDescent="0.35">
      <c r="A6" s="517" t="s">
        <v>376</v>
      </c>
      <c r="B6" s="518">
        <v>28</v>
      </c>
      <c r="C6" s="518">
        <v>261</v>
      </c>
      <c r="D6" s="519">
        <v>8</v>
      </c>
      <c r="F6" s="483">
        <v>28</v>
      </c>
      <c r="G6" s="459">
        <f>ACCUM!X213</f>
        <v>63428.428800000002</v>
      </c>
      <c r="H6" s="460">
        <f>ACCUM!Y213</f>
        <v>64700.438399999999</v>
      </c>
      <c r="I6" s="460">
        <f>ACCUM!Z213</f>
        <v>66608.452799999999</v>
      </c>
      <c r="J6" s="460">
        <f>ACCUM!AA213</f>
        <v>67880.671199999997</v>
      </c>
      <c r="K6" s="460">
        <f>ACCUM!AB213</f>
        <v>69152.680800000002</v>
      </c>
      <c r="L6" s="460">
        <f>ACCUM!AC213</f>
        <v>70424.690399999992</v>
      </c>
      <c r="M6" s="460">
        <f>ACCUM!AD213</f>
        <v>72310.989600000001</v>
      </c>
      <c r="N6" s="460">
        <f>ACCUM!AE213</f>
        <v>73582.999200000006</v>
      </c>
      <c r="O6" s="460">
        <f>ACCUM!AF213</f>
        <v>74855.217600000004</v>
      </c>
      <c r="P6" s="460">
        <f>ACCUM!AG213</f>
        <v>76763.232000000004</v>
      </c>
      <c r="Q6" s="460">
        <f>ACCUM!AH213</f>
        <v>78035.241599999994</v>
      </c>
      <c r="R6" s="460">
        <f>ACCUM!AI213</f>
        <v>79307.460000000006</v>
      </c>
      <c r="S6" s="460">
        <f>ACCUM!AJ213</f>
        <v>81193.550400000007</v>
      </c>
      <c r="T6" s="460">
        <f>ACCUM!AK213</f>
        <v>82465.56</v>
      </c>
      <c r="U6" s="460">
        <f>ACCUM!AL213</f>
        <v>83737.77840000001</v>
      </c>
      <c r="V6" s="460">
        <f>ACCUM!AM213</f>
        <v>85009.788</v>
      </c>
      <c r="W6" s="460">
        <f>ACCUM!AN213</f>
        <v>86918.011200000008</v>
      </c>
      <c r="X6" s="460">
        <f>ACCUM!AO213</f>
        <v>86918.011200000008</v>
      </c>
      <c r="Y6" s="460">
        <f>ACCUM!AP213</f>
        <v>86918.011200000008</v>
      </c>
      <c r="Z6" s="460">
        <f>ACCUM!AQ213</f>
        <v>86918.011200000008</v>
      </c>
      <c r="AA6" s="461">
        <f>ACCUM!AR213</f>
        <v>88168.096799999999</v>
      </c>
      <c r="AB6" s="481"/>
      <c r="AC6" s="481"/>
      <c r="AD6" s="481"/>
      <c r="AE6" s="481"/>
      <c r="AF6" s="481"/>
      <c r="AG6" s="481"/>
      <c r="AH6" s="481"/>
      <c r="AI6" s="481"/>
    </row>
    <row r="7" spans="1:46" ht="19.899999999999999" customHeight="1" x14ac:dyDescent="0.35">
      <c r="A7" s="508" t="s">
        <v>377</v>
      </c>
      <c r="B7" s="509">
        <v>29</v>
      </c>
      <c r="C7" s="509">
        <v>226</v>
      </c>
      <c r="D7" s="510">
        <v>7.5</v>
      </c>
      <c r="F7" s="483">
        <v>29</v>
      </c>
      <c r="G7" s="459">
        <f>ACCUM!X214</f>
        <v>66148.048800000004</v>
      </c>
      <c r="H7" s="460">
        <f>ACCUM!Y214</f>
        <v>67463.906399999993</v>
      </c>
      <c r="I7" s="460">
        <f>ACCUM!Z214</f>
        <v>69459.825599999996</v>
      </c>
      <c r="J7" s="460">
        <f>ACCUM!AA214</f>
        <v>70775.683199999999</v>
      </c>
      <c r="K7" s="460">
        <f>ACCUM!AB214</f>
        <v>72091.540800000002</v>
      </c>
      <c r="L7" s="460">
        <f>ACCUM!AC214</f>
        <v>73429.531199999998</v>
      </c>
      <c r="M7" s="460">
        <f>ACCUM!AD214</f>
        <v>75403.526400000002</v>
      </c>
      <c r="N7" s="460">
        <f>ACCUM!AE214</f>
        <v>76741.308000000005</v>
      </c>
      <c r="O7" s="460">
        <f>ACCUM!AF214</f>
        <v>78057.165599999993</v>
      </c>
      <c r="P7" s="460">
        <f>ACCUM!AG214</f>
        <v>80031.160799999998</v>
      </c>
      <c r="Q7" s="460">
        <f>ACCUM!AH214</f>
        <v>81368.9424</v>
      </c>
      <c r="R7" s="460">
        <f>ACCUM!AI214</f>
        <v>82685.008799999996</v>
      </c>
      <c r="S7" s="460">
        <f>ACCUM!AJ214</f>
        <v>84658.795200000008</v>
      </c>
      <c r="T7" s="460">
        <f>ACCUM!AK214</f>
        <v>85996.785600000003</v>
      </c>
      <c r="U7" s="460">
        <f>ACCUM!AL214</f>
        <v>87312.643200000006</v>
      </c>
      <c r="V7" s="460">
        <f>ACCUM!AM214</f>
        <v>88628.709600000002</v>
      </c>
      <c r="W7" s="460">
        <f>ACCUM!AN214</f>
        <v>90624.420000000013</v>
      </c>
      <c r="X7" s="460">
        <f>ACCUM!AO214</f>
        <v>90624.420000000013</v>
      </c>
      <c r="Y7" s="460">
        <f>ACCUM!AP214</f>
        <v>90624.420000000013</v>
      </c>
      <c r="Z7" s="460">
        <f>ACCUM!AQ214</f>
        <v>90624.420000000013</v>
      </c>
      <c r="AA7" s="461">
        <f>ACCUM!AR214</f>
        <v>91940.486400000009</v>
      </c>
      <c r="AB7" s="481"/>
      <c r="AC7" s="481"/>
      <c r="AD7" s="481"/>
      <c r="AE7" s="481"/>
      <c r="AF7" s="481"/>
      <c r="AG7" s="481"/>
      <c r="AH7" s="481"/>
      <c r="AI7" s="481"/>
    </row>
    <row r="8" spans="1:46" ht="25.5" customHeight="1" x14ac:dyDescent="0.35">
      <c r="A8" s="517" t="s">
        <v>378</v>
      </c>
      <c r="B8" s="518">
        <v>29</v>
      </c>
      <c r="C8" s="518">
        <v>261</v>
      </c>
      <c r="D8" s="519">
        <v>8</v>
      </c>
      <c r="F8" s="483">
        <v>30</v>
      </c>
      <c r="G8" s="459">
        <f>ACCUM!X215</f>
        <v>68801.687999999995</v>
      </c>
      <c r="H8" s="460">
        <f>ACCUM!Y215</f>
        <v>70161.602400000003</v>
      </c>
      <c r="I8" s="460">
        <f>ACCUM!Z215</f>
        <v>72223.293600000005</v>
      </c>
      <c r="J8" s="460">
        <f>ACCUM!AA215</f>
        <v>73604.92319999999</v>
      </c>
      <c r="K8" s="460">
        <f>ACCUM!AB215</f>
        <v>74986.761600000013</v>
      </c>
      <c r="L8" s="460">
        <f>ACCUM!AC215</f>
        <v>76368.391199999998</v>
      </c>
      <c r="M8" s="460">
        <f>ACCUM!AD215</f>
        <v>78430.082399999999</v>
      </c>
      <c r="N8" s="460">
        <f>ACCUM!AE215</f>
        <v>79811.920800000007</v>
      </c>
      <c r="O8" s="460">
        <f>ACCUM!AF215</f>
        <v>81171.626400000008</v>
      </c>
      <c r="P8" s="460">
        <f>ACCUM!AG215</f>
        <v>83233.317599999995</v>
      </c>
      <c r="Q8" s="460">
        <f>ACCUM!AH215</f>
        <v>84614.947199999995</v>
      </c>
      <c r="R8" s="460">
        <f>ACCUM!AI215</f>
        <v>85996.785600000003</v>
      </c>
      <c r="S8" s="460">
        <f>ACCUM!AJ215</f>
        <v>88058.476800000004</v>
      </c>
      <c r="T8" s="460">
        <f>ACCUM!AK215</f>
        <v>89440.10639999999</v>
      </c>
      <c r="U8" s="460">
        <f>ACCUM!AL215</f>
        <v>90800.020800000013</v>
      </c>
      <c r="V8" s="460">
        <f>ACCUM!AM215</f>
        <v>92181.650399999999</v>
      </c>
      <c r="W8" s="460">
        <f>ACCUM!AN215</f>
        <v>94243.3416</v>
      </c>
      <c r="X8" s="460">
        <f>ACCUM!AO215</f>
        <v>94243.3416</v>
      </c>
      <c r="Y8" s="460">
        <f>ACCUM!AP215</f>
        <v>94243.3416</v>
      </c>
      <c r="Z8" s="460">
        <f>ACCUM!AQ215</f>
        <v>94243.3416</v>
      </c>
      <c r="AA8" s="461">
        <f>ACCUM!AR215</f>
        <v>95624.9712</v>
      </c>
      <c r="AB8" s="481"/>
      <c r="AC8" s="481"/>
      <c r="AD8" s="481"/>
      <c r="AE8" s="481"/>
      <c r="AF8" s="481"/>
      <c r="AG8" s="481"/>
      <c r="AH8" s="481"/>
      <c r="AI8" s="481"/>
    </row>
    <row r="9" spans="1:46" ht="24" customHeight="1" x14ac:dyDescent="0.35">
      <c r="A9" s="508" t="s">
        <v>379</v>
      </c>
      <c r="B9" s="509">
        <v>30</v>
      </c>
      <c r="C9" s="509">
        <v>206</v>
      </c>
      <c r="D9" s="510">
        <v>8</v>
      </c>
      <c r="F9" s="483">
        <v>31</v>
      </c>
      <c r="G9" s="459">
        <f>ACCUM!X216</f>
        <v>72047.692800000004</v>
      </c>
      <c r="H9" s="460">
        <f>ACCUM!Y216</f>
        <v>73495.303200000009</v>
      </c>
      <c r="I9" s="460">
        <f>ACCUM!Z216</f>
        <v>75644.690399999992</v>
      </c>
      <c r="J9" s="460">
        <f>ACCUM!AA216</f>
        <v>77092.300799999997</v>
      </c>
      <c r="K9" s="460">
        <f>ACCUM!AB216</f>
        <v>78539.702400000009</v>
      </c>
      <c r="L9" s="460">
        <f>ACCUM!AC216</f>
        <v>79965.388800000001</v>
      </c>
      <c r="M9" s="460">
        <f>ACCUM!AD216</f>
        <v>82136.7</v>
      </c>
      <c r="N9" s="460">
        <f>ACCUM!AE216</f>
        <v>83584.101600000009</v>
      </c>
      <c r="O9" s="460">
        <f>ACCUM!AF216</f>
        <v>85009.788</v>
      </c>
      <c r="P9" s="460">
        <f>ACCUM!AG216</f>
        <v>87181.099199999997</v>
      </c>
      <c r="Q9" s="460">
        <f>ACCUM!AH216</f>
        <v>88628.709600000002</v>
      </c>
      <c r="R9" s="460">
        <f>ACCUM!AI216</f>
        <v>90054.1872</v>
      </c>
      <c r="S9" s="460">
        <f>ACCUM!AJ216</f>
        <v>92225.498399999997</v>
      </c>
      <c r="T9" s="460">
        <f>ACCUM!AK216</f>
        <v>93673.108800000002</v>
      </c>
      <c r="U9" s="460">
        <f>ACCUM!AL216</f>
        <v>95098.5864</v>
      </c>
      <c r="V9" s="460">
        <f>ACCUM!AM216</f>
        <v>96546.196799999991</v>
      </c>
      <c r="W9" s="460">
        <f>ACCUM!AN216</f>
        <v>98695.584000000003</v>
      </c>
      <c r="X9" s="460">
        <f>ACCUM!AO216</f>
        <v>98695.584000000003</v>
      </c>
      <c r="Y9" s="460">
        <f>ACCUM!AP216</f>
        <v>98695.584000000003</v>
      </c>
      <c r="Z9" s="460">
        <f>ACCUM!AQ216</f>
        <v>98695.584000000003</v>
      </c>
      <c r="AA9" s="461">
        <f>ACCUM!AR216</f>
        <v>100143.19440000001</v>
      </c>
      <c r="AB9" s="481"/>
      <c r="AC9" s="481"/>
      <c r="AD9" s="481"/>
      <c r="AE9" s="481"/>
      <c r="AF9" s="481"/>
      <c r="AG9" s="481"/>
      <c r="AH9" s="481"/>
      <c r="AI9" s="481"/>
    </row>
    <row r="10" spans="1:46" ht="22.5" customHeight="1" x14ac:dyDescent="0.35">
      <c r="A10" s="517" t="s">
        <v>380</v>
      </c>
      <c r="B10" s="518">
        <v>30</v>
      </c>
      <c r="C10" s="518">
        <v>206</v>
      </c>
      <c r="D10" s="519">
        <v>8</v>
      </c>
      <c r="F10" s="483">
        <v>32</v>
      </c>
      <c r="G10" s="459">
        <f>ACCUM!X217</f>
        <v>76061.455199999997</v>
      </c>
      <c r="H10" s="460">
        <f>ACCUM!Y217</f>
        <v>77574.628800000006</v>
      </c>
      <c r="I10" s="460">
        <f>ACCUM!Z217</f>
        <v>79855.768800000005</v>
      </c>
      <c r="J10" s="460">
        <f>ACCUM!AA217</f>
        <v>81390.866399999999</v>
      </c>
      <c r="K10" s="460">
        <f>ACCUM!AB217</f>
        <v>82904.248800000001</v>
      </c>
      <c r="L10" s="460">
        <f>ACCUM!AC217</f>
        <v>84417.631200000003</v>
      </c>
      <c r="M10" s="460">
        <f>ACCUM!AD217</f>
        <v>86720.486400000009</v>
      </c>
      <c r="N10" s="460">
        <f>ACCUM!AE217</f>
        <v>88233.868799999997</v>
      </c>
      <c r="O10" s="460">
        <f>ACCUM!AF217</f>
        <v>89747.251199999999</v>
      </c>
      <c r="P10" s="460">
        <f>ACCUM!AG217</f>
        <v>92028.182400000005</v>
      </c>
      <c r="Q10" s="460">
        <f>ACCUM!AH217</f>
        <v>93563.488799999992</v>
      </c>
      <c r="R10" s="460">
        <f>ACCUM!AI217</f>
        <v>95076.662400000001</v>
      </c>
      <c r="S10" s="460">
        <f>ACCUM!AJ217</f>
        <v>97357.8024</v>
      </c>
      <c r="T10" s="460">
        <f>ACCUM!AK217</f>
        <v>98870.975999999995</v>
      </c>
      <c r="U10" s="460">
        <f>ACCUM!AL217</f>
        <v>100406.2824</v>
      </c>
      <c r="V10" s="460">
        <f>ACCUM!AM217</f>
        <v>101919.6648</v>
      </c>
      <c r="W10" s="460">
        <f>ACCUM!AN217</f>
        <v>104200.59599999999</v>
      </c>
      <c r="X10" s="460">
        <f>ACCUM!AO217</f>
        <v>104200.59599999999</v>
      </c>
      <c r="Y10" s="460">
        <f>ACCUM!AP217</f>
        <v>104200.59599999999</v>
      </c>
      <c r="Z10" s="460">
        <f>ACCUM!AQ217</f>
        <v>104200.59599999999</v>
      </c>
      <c r="AA10" s="461">
        <f>ACCUM!AR217</f>
        <v>105735.90240000001</v>
      </c>
      <c r="AB10" s="481"/>
      <c r="AC10" s="481"/>
      <c r="AD10" s="481"/>
      <c r="AE10" s="481"/>
      <c r="AF10" s="481"/>
      <c r="AG10" s="481"/>
      <c r="AH10" s="481"/>
      <c r="AI10" s="481"/>
    </row>
    <row r="11" spans="1:46" ht="23.25" customHeight="1" x14ac:dyDescent="0.35">
      <c r="A11" s="508" t="s">
        <v>381</v>
      </c>
      <c r="B11" s="509">
        <v>30</v>
      </c>
      <c r="C11" s="509">
        <v>226</v>
      </c>
      <c r="D11" s="510">
        <v>8</v>
      </c>
      <c r="F11" s="483">
        <v>33</v>
      </c>
      <c r="G11" s="459">
        <f>ACCUM!X218</f>
        <v>78408.1584</v>
      </c>
      <c r="H11" s="460">
        <f>ACCUM!Y218</f>
        <v>79987.3128</v>
      </c>
      <c r="I11" s="460">
        <f>ACCUM!Z218</f>
        <v>82334.016000000003</v>
      </c>
      <c r="J11" s="460">
        <f>ACCUM!AA218</f>
        <v>83891.246399999989</v>
      </c>
      <c r="K11" s="460">
        <f>ACCUM!AB218</f>
        <v>85470.400800000003</v>
      </c>
      <c r="L11" s="460">
        <f>ACCUM!AC218</f>
        <v>87027.631200000003</v>
      </c>
      <c r="M11" s="460">
        <f>ACCUM!AD218</f>
        <v>89396.258400000006</v>
      </c>
      <c r="N11" s="460">
        <f>ACCUM!AE218</f>
        <v>90953.488799999992</v>
      </c>
      <c r="O11" s="460">
        <f>ACCUM!AF218</f>
        <v>92532.643200000006</v>
      </c>
      <c r="P11" s="460">
        <f>ACCUM!AG218</f>
        <v>94879.346399999995</v>
      </c>
      <c r="Q11" s="460">
        <f>ACCUM!AH218</f>
        <v>96436.57680000001</v>
      </c>
      <c r="R11" s="460">
        <f>ACCUM!AI218</f>
        <v>98015.731199999995</v>
      </c>
      <c r="S11" s="460">
        <f>ACCUM!AJ218</f>
        <v>100362.4344</v>
      </c>
      <c r="T11" s="460">
        <f>ACCUM!AK218</f>
        <v>101941.5888</v>
      </c>
      <c r="U11" s="460">
        <f>ACCUM!AL218</f>
        <v>103498.8192</v>
      </c>
      <c r="V11" s="460">
        <f>ACCUM!AM218</f>
        <v>105077.9736</v>
      </c>
      <c r="W11" s="460">
        <f>ACCUM!AN218</f>
        <v>107424.6768</v>
      </c>
      <c r="X11" s="460">
        <f>ACCUM!AO218</f>
        <v>107424.6768</v>
      </c>
      <c r="Y11" s="460">
        <f>ACCUM!AP218</f>
        <v>107424.6768</v>
      </c>
      <c r="Z11" s="460">
        <f>ACCUM!AQ218</f>
        <v>107424.6768</v>
      </c>
      <c r="AA11" s="461">
        <f>ACCUM!AR218</f>
        <v>108981.9072</v>
      </c>
      <c r="AB11" s="481"/>
      <c r="AC11" s="481"/>
      <c r="AD11" s="481"/>
      <c r="AE11" s="481"/>
      <c r="AH11" s="481"/>
      <c r="AI11" s="481"/>
    </row>
    <row r="12" spans="1:46" ht="19.899999999999999" customHeight="1" x14ac:dyDescent="0.35">
      <c r="A12" s="517" t="s">
        <v>382</v>
      </c>
      <c r="B12" s="518">
        <v>31</v>
      </c>
      <c r="C12" s="518">
        <v>261</v>
      </c>
      <c r="D12" s="519">
        <v>8</v>
      </c>
      <c r="F12" s="483">
        <v>34</v>
      </c>
      <c r="G12" s="459">
        <f>ACCUM!X219</f>
        <v>81390.866399999999</v>
      </c>
      <c r="H12" s="460">
        <f>ACCUM!Y219</f>
        <v>83013.868799999997</v>
      </c>
      <c r="I12" s="460">
        <f>ACCUM!Z219</f>
        <v>85448.476800000004</v>
      </c>
      <c r="J12" s="460">
        <f>ACCUM!AA219</f>
        <v>87093.403200000001</v>
      </c>
      <c r="K12" s="460">
        <f>ACCUM!AB219</f>
        <v>88716.405599999998</v>
      </c>
      <c r="L12" s="460">
        <f>ACCUM!AC219</f>
        <v>90339.407999999996</v>
      </c>
      <c r="M12" s="460">
        <f>ACCUM!AD219</f>
        <v>92773.807199999996</v>
      </c>
      <c r="N12" s="460">
        <f>ACCUM!AE219</f>
        <v>94396.809600000008</v>
      </c>
      <c r="O12" s="460">
        <f>ACCUM!AF219</f>
        <v>96041.736000000004</v>
      </c>
      <c r="P12" s="460">
        <f>ACCUM!AG219</f>
        <v>98476.343999999997</v>
      </c>
      <c r="Q12" s="460">
        <f>ACCUM!AH219</f>
        <v>100099.34639999999</v>
      </c>
      <c r="R12" s="460">
        <f>ACCUM!AI219</f>
        <v>101722.34879999999</v>
      </c>
      <c r="S12" s="460">
        <f>ACCUM!AJ219</f>
        <v>104178.67199999999</v>
      </c>
      <c r="T12" s="460">
        <f>ACCUM!AK219</f>
        <v>105801.6744</v>
      </c>
      <c r="U12" s="460">
        <f>ACCUM!AL219</f>
        <v>107424.6768</v>
      </c>
      <c r="V12" s="460">
        <f>ACCUM!AM219</f>
        <v>109047.67920000001</v>
      </c>
      <c r="W12" s="460">
        <f>ACCUM!AN219</f>
        <v>111504.0024</v>
      </c>
      <c r="X12" s="460">
        <f>ACCUM!AO219</f>
        <v>111504.0024</v>
      </c>
      <c r="Y12" s="460">
        <f>ACCUM!AP219</f>
        <v>111504.0024</v>
      </c>
      <c r="Z12" s="460">
        <f>ACCUM!AQ219</f>
        <v>111504.0024</v>
      </c>
      <c r="AA12" s="461">
        <f>ACCUM!AR219</f>
        <v>113127.0048</v>
      </c>
      <c r="AB12" s="481"/>
      <c r="AC12" s="481"/>
      <c r="AD12" s="481"/>
      <c r="AE12" s="481"/>
      <c r="AH12" s="481"/>
      <c r="AI12" s="481"/>
    </row>
    <row r="13" spans="1:46" ht="25.5" customHeight="1" x14ac:dyDescent="0.35">
      <c r="A13" s="508" t="s">
        <v>383</v>
      </c>
      <c r="B13" s="509">
        <v>32</v>
      </c>
      <c r="C13" s="509">
        <v>261</v>
      </c>
      <c r="D13" s="510">
        <v>8</v>
      </c>
      <c r="F13" s="483">
        <v>35</v>
      </c>
      <c r="G13" s="459">
        <f>ACCUM!X220</f>
        <v>87093.403200000001</v>
      </c>
      <c r="H13" s="460">
        <f>ACCUM!Y220</f>
        <v>88826.025600000008</v>
      </c>
      <c r="I13" s="460">
        <f>ACCUM!Z220</f>
        <v>91436.025600000008</v>
      </c>
      <c r="J13" s="460">
        <f>ACCUM!AA220</f>
        <v>93168.648000000001</v>
      </c>
      <c r="K13" s="460">
        <f>ACCUM!AB220</f>
        <v>94923.194400000008</v>
      </c>
      <c r="L13" s="460">
        <f>ACCUM!AC220</f>
        <v>96655.816800000001</v>
      </c>
      <c r="M13" s="460">
        <f>ACCUM!AD220</f>
        <v>99265.816800000001</v>
      </c>
      <c r="N13" s="460">
        <f>ACCUM!AE220</f>
        <v>101020.36319999999</v>
      </c>
      <c r="O13" s="460">
        <f>ACCUM!AF220</f>
        <v>102752.9856</v>
      </c>
      <c r="P13" s="460">
        <f>ACCUM!AG220</f>
        <v>105362.9856</v>
      </c>
      <c r="Q13" s="460">
        <f>ACCUM!AH220</f>
        <v>107117.53199999999</v>
      </c>
      <c r="R13" s="460">
        <f>ACCUM!AI220</f>
        <v>108850.36319999999</v>
      </c>
      <c r="S13" s="460">
        <f>ACCUM!AJ220</f>
        <v>111460.1544</v>
      </c>
      <c r="T13" s="460">
        <f>ACCUM!AK220</f>
        <v>113214.70080000001</v>
      </c>
      <c r="U13" s="460">
        <f>ACCUM!AL220</f>
        <v>114947.53199999999</v>
      </c>
      <c r="V13" s="460">
        <f>ACCUM!AM220</f>
        <v>116680.1544</v>
      </c>
      <c r="W13" s="460">
        <f>ACCUM!AN220</f>
        <v>119312.07840000001</v>
      </c>
      <c r="X13" s="460">
        <f>ACCUM!AO220</f>
        <v>119312.07840000001</v>
      </c>
      <c r="Y13" s="460">
        <f>ACCUM!AP220</f>
        <v>119312.07840000001</v>
      </c>
      <c r="Z13" s="460">
        <f>ACCUM!AQ220</f>
        <v>119312.07840000001</v>
      </c>
      <c r="AA13" s="461">
        <f>ACCUM!AR220</f>
        <v>121044.70080000001</v>
      </c>
      <c r="AB13" s="481"/>
      <c r="AC13" s="481"/>
      <c r="AD13" s="481"/>
      <c r="AE13" s="481"/>
      <c r="AH13" s="481"/>
      <c r="AI13" s="481"/>
    </row>
    <row r="14" spans="1:46" ht="25.5" customHeight="1" x14ac:dyDescent="0.35">
      <c r="A14" s="517"/>
      <c r="B14" s="518">
        <v>33</v>
      </c>
      <c r="C14" s="518">
        <v>261</v>
      </c>
      <c r="D14" s="519">
        <v>8</v>
      </c>
      <c r="F14" s="483">
        <v>36</v>
      </c>
      <c r="G14" s="459">
        <f>ACCUM!X221</f>
        <v>101546.74799999999</v>
      </c>
      <c r="H14" s="460">
        <f>ACCUM!Y221</f>
        <v>103586.51519999999</v>
      </c>
      <c r="I14" s="460">
        <f>ACCUM!Z221</f>
        <v>106634.9952</v>
      </c>
      <c r="J14" s="460">
        <f>ACCUM!AA221</f>
        <v>108652.83839999999</v>
      </c>
      <c r="K14" s="460">
        <f>ACCUM!AB221</f>
        <v>110692.6056</v>
      </c>
      <c r="L14" s="460">
        <f>ACCUM!AC221</f>
        <v>112710.4488</v>
      </c>
      <c r="M14" s="460">
        <f>ACCUM!AD221</f>
        <v>115758.92880000001</v>
      </c>
      <c r="N14" s="460">
        <f>ACCUM!AE221</f>
        <v>117798.696</v>
      </c>
      <c r="O14" s="460">
        <f>ACCUM!AF221</f>
        <v>119816.5392</v>
      </c>
      <c r="P14" s="460">
        <f>ACCUM!AG221</f>
        <v>122865.01920000001</v>
      </c>
      <c r="Q14" s="460">
        <f>ACCUM!AH221</f>
        <v>124904.78640000001</v>
      </c>
      <c r="R14" s="460">
        <f>ACCUM!AI221</f>
        <v>126944.5536</v>
      </c>
      <c r="S14" s="460">
        <f>ACCUM!AJ221</f>
        <v>129971.1096</v>
      </c>
      <c r="T14" s="460">
        <f>ACCUM!AK221</f>
        <v>132010.8768</v>
      </c>
      <c r="U14" s="460">
        <f>ACCUM!AL221</f>
        <v>134050.43520000001</v>
      </c>
      <c r="V14" s="460">
        <f>ACCUM!AM221</f>
        <v>136068.27839999998</v>
      </c>
      <c r="W14" s="460">
        <f>ACCUM!AN221</f>
        <v>139116.96720000001</v>
      </c>
      <c r="X14" s="460">
        <f>ACCUM!AO221</f>
        <v>139116.96720000001</v>
      </c>
      <c r="Y14" s="460">
        <f>ACCUM!AP221</f>
        <v>139116.96720000001</v>
      </c>
      <c r="Z14" s="460">
        <f>ACCUM!AQ221</f>
        <v>139116.96720000001</v>
      </c>
      <c r="AA14" s="461">
        <f>ACCUM!AR221</f>
        <v>141156.52559999999</v>
      </c>
    </row>
    <row r="15" spans="1:46" ht="19.899999999999999" customHeight="1" x14ac:dyDescent="0.35">
      <c r="A15" s="508"/>
      <c r="B15" s="509">
        <v>34</v>
      </c>
      <c r="C15" s="509">
        <v>261</v>
      </c>
      <c r="D15" s="510">
        <v>8</v>
      </c>
      <c r="F15" s="483">
        <v>37</v>
      </c>
      <c r="G15" s="459">
        <f>ACCUM!X222</f>
        <v>111701.5272</v>
      </c>
      <c r="H15" s="460">
        <f>ACCUM!Y222</f>
        <v>113938.61040000001</v>
      </c>
      <c r="I15" s="460">
        <f>ACCUM!Z222</f>
        <v>117294.23520000001</v>
      </c>
      <c r="J15" s="460">
        <f>ACCUM!AA222</f>
        <v>119531.3184</v>
      </c>
      <c r="K15" s="460">
        <f>ACCUM!AB222</f>
        <v>121746.4776</v>
      </c>
      <c r="L15" s="460">
        <f>ACCUM!AC222</f>
        <v>123983.56080000001</v>
      </c>
      <c r="M15" s="460">
        <f>ACCUM!AD222</f>
        <v>127339.1856</v>
      </c>
      <c r="N15" s="460">
        <f>ACCUM!AE222</f>
        <v>129576.26880000001</v>
      </c>
      <c r="O15" s="460">
        <f>ACCUM!AF222</f>
        <v>131813.35199999998</v>
      </c>
      <c r="P15" s="460">
        <f>ACCUM!AG222</f>
        <v>135169.1856</v>
      </c>
      <c r="Q15" s="460">
        <f>ACCUM!AH222</f>
        <v>137384.34479999999</v>
      </c>
      <c r="R15" s="460">
        <f>ACCUM!AI222</f>
        <v>139621.42799999999</v>
      </c>
      <c r="S15" s="460">
        <f>ACCUM!AJ222</f>
        <v>142977.0528</v>
      </c>
      <c r="T15" s="460">
        <f>ACCUM!AK222</f>
        <v>145214.136</v>
      </c>
      <c r="U15" s="460">
        <f>ACCUM!AL222</f>
        <v>147451.21919999999</v>
      </c>
      <c r="V15" s="460">
        <f>ACCUM!AM222</f>
        <v>149688.30240000002</v>
      </c>
      <c r="W15" s="460">
        <f>ACCUM!AN222</f>
        <v>153022.00320000001</v>
      </c>
      <c r="X15" s="460">
        <f>ACCUM!AO222</f>
        <v>153022.00320000001</v>
      </c>
      <c r="Y15" s="460">
        <f>ACCUM!AP222</f>
        <v>153022.00320000001</v>
      </c>
      <c r="Z15" s="460">
        <f>ACCUM!AQ222</f>
        <v>153022.00320000001</v>
      </c>
      <c r="AA15" s="461">
        <f>ACCUM!AR222</f>
        <v>155259.0864</v>
      </c>
    </row>
    <row r="16" spans="1:46" ht="19.899999999999999" customHeight="1" thickBot="1" x14ac:dyDescent="0.4">
      <c r="A16" s="517"/>
      <c r="B16" s="518">
        <v>35</v>
      </c>
      <c r="C16" s="518">
        <v>261</v>
      </c>
      <c r="D16" s="519">
        <v>8</v>
      </c>
      <c r="F16" s="484">
        <v>38</v>
      </c>
      <c r="G16" s="462">
        <f>ACCUM!X223</f>
        <v>128457.72720000001</v>
      </c>
      <c r="H16" s="463">
        <f>ACCUM!Y223</f>
        <v>131023.8792</v>
      </c>
      <c r="I16" s="463">
        <f>ACCUM!Z223</f>
        <v>134883.96479999999</v>
      </c>
      <c r="J16" s="463">
        <f>ACCUM!AA223</f>
        <v>137450.11679999999</v>
      </c>
      <c r="K16" s="463">
        <f>ACCUM!AB223</f>
        <v>140016.06</v>
      </c>
      <c r="L16" s="463">
        <f>ACCUM!AC223</f>
        <v>142582.212</v>
      </c>
      <c r="M16" s="463">
        <f>ACCUM!AD223</f>
        <v>146442.29759999999</v>
      </c>
      <c r="N16" s="463">
        <f>ACCUM!AE223</f>
        <v>149008.44959999999</v>
      </c>
      <c r="O16" s="463">
        <f>ACCUM!AF223</f>
        <v>151574.3928</v>
      </c>
      <c r="P16" s="463">
        <f>ACCUM!AG223</f>
        <v>155434.47839999999</v>
      </c>
      <c r="Q16" s="463">
        <f>ACCUM!AH223</f>
        <v>158000.63039999999</v>
      </c>
      <c r="R16" s="463">
        <f>ACCUM!AI223</f>
        <v>160566.7824</v>
      </c>
      <c r="S16" s="463">
        <f>ACCUM!AJ223</f>
        <v>164426.86800000002</v>
      </c>
      <c r="T16" s="463">
        <f>ACCUM!AK223</f>
        <v>166993.02000000002</v>
      </c>
      <c r="U16" s="463">
        <f>ACCUM!AL223</f>
        <v>169558.9632</v>
      </c>
      <c r="V16" s="463">
        <f>ACCUM!AM223</f>
        <v>172125.1152</v>
      </c>
      <c r="W16" s="463">
        <f>ACCUM!AN223</f>
        <v>175985.20079999999</v>
      </c>
      <c r="X16" s="463">
        <f>ACCUM!AO223</f>
        <v>175985.20079999999</v>
      </c>
      <c r="Y16" s="463">
        <f>ACCUM!AP223</f>
        <v>175985.20079999999</v>
      </c>
      <c r="Z16" s="463">
        <f>ACCUM!AQ223</f>
        <v>175985.20079999999</v>
      </c>
      <c r="AA16" s="464">
        <f>ACCUM!AR223</f>
        <v>178551.35279999999</v>
      </c>
    </row>
    <row r="17" spans="1:23" ht="25" x14ac:dyDescent="0.25">
      <c r="A17" s="508" t="s">
        <v>384</v>
      </c>
      <c r="B17" s="509">
        <v>36</v>
      </c>
      <c r="C17" s="509">
        <v>261</v>
      </c>
      <c r="D17" s="510">
        <v>8</v>
      </c>
    </row>
    <row r="18" spans="1:23" ht="25" x14ac:dyDescent="0.25">
      <c r="A18" s="517" t="s">
        <v>385</v>
      </c>
      <c r="B18" s="518">
        <v>37</v>
      </c>
      <c r="C18" s="518">
        <v>261</v>
      </c>
      <c r="D18" s="519">
        <v>8</v>
      </c>
      <c r="F18" s="471"/>
      <c r="G18" s="485" t="s">
        <v>341</v>
      </c>
    </row>
    <row r="19" spans="1:23" ht="34.5" customHeight="1" thickBot="1" x14ac:dyDescent="0.3">
      <c r="A19" s="511" t="s">
        <v>386</v>
      </c>
      <c r="B19" s="512">
        <v>38</v>
      </c>
      <c r="C19" s="512">
        <v>261</v>
      </c>
      <c r="D19" s="513">
        <v>8</v>
      </c>
      <c r="F19" s="474"/>
      <c r="G19" s="474"/>
      <c r="H19" s="474"/>
      <c r="I19" s="474"/>
      <c r="J19" s="474"/>
      <c r="K19" s="474"/>
      <c r="L19" s="474"/>
      <c r="M19" s="474"/>
      <c r="N19" s="474"/>
      <c r="O19" s="474"/>
      <c r="P19" s="474"/>
      <c r="Q19" s="474"/>
      <c r="R19" s="474"/>
      <c r="S19" s="474"/>
      <c r="T19" s="474"/>
      <c r="U19" s="474"/>
      <c r="V19" s="481"/>
      <c r="W19" s="481"/>
    </row>
    <row r="20" spans="1:23" ht="25.5" customHeight="1" x14ac:dyDescent="0.25">
      <c r="F20" s="474"/>
      <c r="G20" s="474"/>
      <c r="H20" s="474"/>
      <c r="I20" s="474"/>
      <c r="J20" s="474"/>
      <c r="K20" s="474"/>
      <c r="L20" s="474"/>
      <c r="M20" s="474"/>
      <c r="N20" s="474"/>
      <c r="O20" s="474"/>
      <c r="P20" s="474"/>
      <c r="Q20" s="474"/>
      <c r="R20" s="474"/>
      <c r="S20" s="474"/>
      <c r="T20" s="474"/>
      <c r="U20" s="474"/>
      <c r="V20" s="481"/>
      <c r="W20" s="481"/>
    </row>
    <row r="21" spans="1:23" ht="19.899999999999999" customHeight="1" x14ac:dyDescent="0.25">
      <c r="F21" s="474"/>
      <c r="G21" s="474"/>
      <c r="H21" s="474"/>
      <c r="I21" s="474"/>
      <c r="J21" s="474"/>
      <c r="K21" s="474"/>
      <c r="L21" s="474"/>
      <c r="M21" s="474"/>
      <c r="N21" s="474"/>
      <c r="O21" s="474"/>
      <c r="P21" s="474"/>
      <c r="Q21" s="474"/>
      <c r="R21" s="474"/>
      <c r="S21" s="474"/>
      <c r="T21" s="474"/>
      <c r="U21" s="474"/>
      <c r="V21" s="481"/>
      <c r="W21" s="481"/>
    </row>
    <row r="22" spans="1:23" ht="19.899999999999999" customHeight="1" x14ac:dyDescent="0.25">
      <c r="F22" s="474"/>
      <c r="G22" s="474"/>
      <c r="H22" s="474"/>
      <c r="I22" s="474"/>
      <c r="J22" s="474"/>
      <c r="K22" s="474"/>
      <c r="L22" s="474"/>
      <c r="M22" s="481"/>
      <c r="N22" s="481"/>
      <c r="O22" s="481"/>
      <c r="P22" s="481"/>
      <c r="Q22" s="481"/>
      <c r="R22" s="481"/>
      <c r="S22" s="481"/>
      <c r="T22" s="481"/>
      <c r="U22" s="481"/>
      <c r="V22" s="481"/>
      <c r="W22" s="481"/>
    </row>
    <row r="23" spans="1:23" ht="19.899999999999999" customHeight="1" x14ac:dyDescent="0.25">
      <c r="F23" s="474"/>
      <c r="G23" s="474"/>
      <c r="H23" s="474"/>
      <c r="I23" s="481"/>
      <c r="J23" s="481"/>
      <c r="K23" s="474"/>
      <c r="L23" s="474"/>
      <c r="M23" s="481"/>
      <c r="N23" s="481"/>
      <c r="O23" s="481"/>
      <c r="P23" s="481"/>
      <c r="Q23" s="481"/>
      <c r="R23" s="481"/>
      <c r="S23" s="481"/>
      <c r="T23" s="481"/>
      <c r="U23" s="481"/>
      <c r="V23" s="481"/>
      <c r="W23" s="481"/>
    </row>
    <row r="24" spans="1:23" ht="19.899999999999999" customHeight="1" x14ac:dyDescent="0.25">
      <c r="F24" s="474"/>
      <c r="G24" s="474"/>
      <c r="H24" s="474"/>
      <c r="I24" s="481"/>
      <c r="J24" s="481"/>
      <c r="K24" s="474"/>
      <c r="L24" s="474"/>
      <c r="M24" s="481"/>
      <c r="N24" s="481"/>
      <c r="O24" s="481"/>
      <c r="P24" s="481"/>
      <c r="Q24" s="481"/>
      <c r="R24" s="481"/>
      <c r="S24" s="481"/>
      <c r="T24" s="481"/>
      <c r="U24" s="481"/>
      <c r="V24" s="481"/>
      <c r="W24" s="481"/>
    </row>
    <row r="25" spans="1:23" ht="19.899999999999999" customHeight="1" x14ac:dyDescent="0.25">
      <c r="F25" s="474"/>
      <c r="G25" s="474"/>
      <c r="H25" s="474"/>
      <c r="I25" s="481"/>
      <c r="J25" s="481"/>
      <c r="K25" s="474"/>
      <c r="L25" s="474"/>
      <c r="M25" s="481"/>
      <c r="N25" s="481"/>
      <c r="O25" s="481"/>
      <c r="P25" s="481"/>
      <c r="Q25" s="481"/>
      <c r="R25" s="481"/>
      <c r="S25" s="481"/>
      <c r="T25" s="481"/>
      <c r="U25" s="481"/>
      <c r="V25" s="481"/>
      <c r="W25" s="481"/>
    </row>
    <row r="26" spans="1:23" ht="19.899999999999999" customHeight="1" x14ac:dyDescent="0.25">
      <c r="F26" s="481"/>
      <c r="G26" s="481"/>
      <c r="H26" s="481"/>
      <c r="I26" s="481"/>
      <c r="J26" s="481"/>
      <c r="K26" s="481"/>
      <c r="L26" s="481"/>
      <c r="M26" s="481"/>
      <c r="N26" s="481"/>
      <c r="O26" s="481"/>
      <c r="P26" s="481"/>
      <c r="Q26" s="481"/>
      <c r="R26" s="481"/>
      <c r="S26" s="481"/>
      <c r="T26" s="481"/>
      <c r="U26" s="481"/>
      <c r="V26" s="481"/>
      <c r="W26" s="481"/>
    </row>
    <row r="27" spans="1:23" ht="19.899999999999999" customHeight="1" x14ac:dyDescent="0.25">
      <c r="F27" s="481"/>
      <c r="G27" s="481"/>
      <c r="H27" s="481"/>
      <c r="I27" s="481"/>
      <c r="J27" s="481"/>
      <c r="K27" s="481"/>
      <c r="L27" s="481"/>
      <c r="M27" s="481"/>
      <c r="N27" s="481"/>
      <c r="O27" s="481"/>
      <c r="P27" s="481"/>
      <c r="Q27" s="481"/>
      <c r="R27" s="481"/>
      <c r="S27" s="481"/>
      <c r="T27" s="481"/>
      <c r="U27" s="481"/>
      <c r="V27" s="481"/>
      <c r="W27" s="481"/>
    </row>
    <row r="28" spans="1:23" ht="19.899999999999999" customHeight="1" x14ac:dyDescent="0.25">
      <c r="F28" s="481"/>
      <c r="G28" s="481"/>
      <c r="H28" s="481"/>
      <c r="I28" s="481"/>
      <c r="J28" s="481"/>
      <c r="K28" s="481"/>
      <c r="L28" s="481"/>
      <c r="M28" s="481"/>
      <c r="N28" s="481"/>
      <c r="O28" s="481"/>
      <c r="P28" s="481"/>
      <c r="Q28" s="481"/>
      <c r="R28" s="481"/>
      <c r="S28" s="481"/>
      <c r="T28" s="481"/>
      <c r="U28" s="481"/>
      <c r="V28" s="481"/>
      <c r="W28" s="481"/>
    </row>
    <row r="29" spans="1:23" ht="19.899999999999999" customHeight="1" x14ac:dyDescent="0.25">
      <c r="F29" s="481"/>
      <c r="G29" s="481"/>
      <c r="H29" s="481"/>
      <c r="I29" s="481"/>
      <c r="J29" s="481"/>
      <c r="K29" s="481"/>
      <c r="L29" s="481"/>
      <c r="M29" s="481"/>
      <c r="N29" s="481"/>
      <c r="O29" s="481"/>
      <c r="P29" s="481"/>
      <c r="Q29" s="481"/>
      <c r="R29" s="481"/>
      <c r="S29" s="481"/>
      <c r="T29" s="481"/>
      <c r="U29" s="481"/>
      <c r="V29" s="481"/>
      <c r="W29" s="481"/>
    </row>
    <row r="30" spans="1:23" ht="19.899999999999999" customHeight="1" x14ac:dyDescent="0.25">
      <c r="F30" s="481"/>
      <c r="G30" s="481"/>
      <c r="H30" s="481"/>
      <c r="I30" s="481"/>
      <c r="J30" s="481"/>
      <c r="K30" s="481"/>
      <c r="L30" s="481"/>
      <c r="M30" s="481"/>
      <c r="N30" s="481"/>
      <c r="O30" s="481"/>
      <c r="P30" s="481"/>
      <c r="Q30" s="481"/>
      <c r="R30" s="481"/>
      <c r="S30" s="481"/>
      <c r="T30" s="481"/>
      <c r="U30" s="481"/>
      <c r="V30" s="481"/>
      <c r="W30" s="481"/>
    </row>
    <row r="31" spans="1:23" ht="19.899999999999999" customHeight="1" x14ac:dyDescent="0.25">
      <c r="F31" s="481"/>
      <c r="G31" s="481"/>
      <c r="H31" s="481"/>
      <c r="I31" s="481"/>
      <c r="J31" s="481"/>
      <c r="K31" s="481"/>
      <c r="L31" s="481"/>
      <c r="M31" s="481"/>
      <c r="N31" s="481"/>
      <c r="O31" s="481"/>
      <c r="P31" s="481"/>
      <c r="Q31" s="481"/>
      <c r="R31" s="481"/>
      <c r="S31" s="481"/>
      <c r="T31" s="481"/>
      <c r="U31" s="481"/>
      <c r="V31" s="481"/>
      <c r="W31" s="481"/>
    </row>
    <row r="32" spans="1:23" ht="19.899999999999999" customHeight="1" x14ac:dyDescent="0.25">
      <c r="F32" s="481"/>
      <c r="G32" s="481"/>
      <c r="H32" s="481"/>
      <c r="I32" s="481"/>
      <c r="J32" s="481"/>
      <c r="K32" s="481"/>
      <c r="L32" s="481"/>
    </row>
    <row r="33" spans="6:12" ht="19.899999999999999" customHeight="1" x14ac:dyDescent="0.25">
      <c r="F33" s="481"/>
      <c r="G33" s="481"/>
      <c r="H33" s="481"/>
      <c r="I33" s="481"/>
      <c r="J33" s="481"/>
      <c r="K33" s="481"/>
      <c r="L33" s="481"/>
    </row>
    <row r="34" spans="6:12" ht="19.899999999999999" customHeight="1" x14ac:dyDescent="0.25">
      <c r="F34" s="481"/>
      <c r="G34" s="481"/>
      <c r="H34" s="481"/>
      <c r="I34" s="481"/>
      <c r="J34" s="481"/>
      <c r="K34" s="481"/>
      <c r="L34" s="481"/>
    </row>
    <row r="35" spans="6:12" ht="19.899999999999999" customHeight="1" x14ac:dyDescent="0.25">
      <c r="F35" s="481"/>
      <c r="G35" s="481"/>
      <c r="H35" s="481"/>
      <c r="I35" s="481"/>
      <c r="J35" s="481"/>
      <c r="K35" s="481"/>
      <c r="L35" s="481"/>
    </row>
    <row r="36" spans="6:12" ht="19.899999999999999" customHeight="1" x14ac:dyDescent="0.25">
      <c r="F36" s="481"/>
      <c r="G36" s="481"/>
      <c r="H36" s="481"/>
      <c r="I36" s="481"/>
      <c r="J36" s="481"/>
      <c r="K36" s="481"/>
      <c r="L36" s="481"/>
    </row>
    <row r="37" spans="6:12" ht="19.899999999999999" customHeight="1" x14ac:dyDescent="0.25">
      <c r="F37" s="481"/>
      <c r="G37" s="481"/>
      <c r="H37" s="481"/>
      <c r="K37" s="481"/>
      <c r="L37" s="481"/>
    </row>
    <row r="38" spans="6:12" ht="19.899999999999999" customHeight="1" x14ac:dyDescent="0.25">
      <c r="F38" s="481"/>
      <c r="G38" s="481"/>
      <c r="H38" s="481"/>
      <c r="K38" s="481"/>
      <c r="L38" s="481"/>
    </row>
    <row r="39" spans="6:12" ht="19.899999999999999" customHeight="1" x14ac:dyDescent="0.25">
      <c r="F39" s="481"/>
      <c r="G39" s="481"/>
      <c r="H39" s="481"/>
      <c r="K39" s="481"/>
      <c r="L39" s="481"/>
    </row>
    <row r="40" spans="6:12" ht="19.899999999999999" customHeight="1" x14ac:dyDescent="0.25">
      <c r="F40" s="471"/>
    </row>
    <row r="41" spans="6:12" ht="19.899999999999999" customHeight="1" x14ac:dyDescent="0.25">
      <c r="F41" s="471"/>
    </row>
    <row r="42" spans="6:12" ht="19.899999999999999" customHeight="1" x14ac:dyDescent="0.25">
      <c r="F42" s="471"/>
    </row>
    <row r="43" spans="6:12" x14ac:dyDescent="0.25">
      <c r="F43" s="471"/>
    </row>
    <row r="44" spans="6:12" x14ac:dyDescent="0.25">
      <c r="F44" s="471"/>
    </row>
  </sheetData>
  <mergeCells count="1">
    <mergeCell ref="F2:AA2"/>
  </mergeCells>
  <printOptions horizontalCentered="1"/>
  <pageMargins left="0.7" right="0.7" top="0.75" bottom="0.75" header="0.3" footer="0.3"/>
  <pageSetup scale="27" orientation="landscape" r:id="rId1"/>
  <headerFooter alignWithMargins="0">
    <oddFooter>&amp;L&amp;"Arial,Bold"&amp;F&amp;C&amp;"Arial,Bold"&amp;D &amp;R&amp;"Arial,Bold"Appendix D-1</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pageSetUpPr fitToPage="1"/>
  </sheetPr>
  <dimension ref="B1:S15"/>
  <sheetViews>
    <sheetView view="pageLayout" zoomScaleNormal="120" workbookViewId="0">
      <selection activeCell="N24" sqref="N24"/>
    </sheetView>
  </sheetViews>
  <sheetFormatPr defaultColWidth="9.1796875" defaultRowHeight="12.5" x14ac:dyDescent="0.25"/>
  <cols>
    <col min="1" max="1" width="3.7265625" style="15" customWidth="1"/>
    <col min="2" max="15" width="8.7265625" style="15" customWidth="1"/>
    <col min="16" max="16" width="3.7265625" style="15" customWidth="1"/>
    <col min="17" max="17" width="8.7265625" style="15" customWidth="1"/>
    <col min="18" max="16384" width="9.1796875" style="15"/>
  </cols>
  <sheetData>
    <row r="1" spans="2:19" ht="13" thickBot="1" x14ac:dyDescent="0.3"/>
    <row r="2" spans="2:19" s="6" customFormat="1" ht="20.149999999999999" customHeight="1" thickBot="1" x14ac:dyDescent="0.4">
      <c r="B2" s="358" t="s">
        <v>278</v>
      </c>
      <c r="C2" s="114"/>
      <c r="D2" s="114"/>
      <c r="E2" s="114"/>
      <c r="F2" s="114"/>
      <c r="G2" s="114"/>
      <c r="H2" s="114"/>
      <c r="I2" s="114"/>
      <c r="J2" s="114"/>
      <c r="K2" s="114"/>
      <c r="L2" s="114"/>
      <c r="M2" s="114"/>
      <c r="N2" s="114"/>
      <c r="O2" s="270" t="str">
        <f>ACCUM!A3</f>
        <v>FY'23</v>
      </c>
    </row>
    <row r="3" spans="2:19" ht="13" thickBot="1" x14ac:dyDescent="0.3"/>
    <row r="4" spans="2:19" s="346" customFormat="1" ht="15" customHeight="1" thickBot="1" x14ac:dyDescent="0.3">
      <c r="B4" s="341"/>
      <c r="C4" s="343">
        <v>1</v>
      </c>
      <c r="D4" s="343">
        <v>2</v>
      </c>
      <c r="E4" s="343">
        <v>3</v>
      </c>
      <c r="F4" s="343">
        <v>4</v>
      </c>
      <c r="G4" s="343">
        <v>5</v>
      </c>
      <c r="H4" s="343">
        <v>6</v>
      </c>
      <c r="I4" s="343">
        <v>7</v>
      </c>
      <c r="J4" s="343">
        <v>8</v>
      </c>
      <c r="K4" s="343">
        <v>9</v>
      </c>
      <c r="L4" s="344">
        <v>10</v>
      </c>
      <c r="M4" s="343">
        <v>11</v>
      </c>
      <c r="N4" s="343">
        <v>12</v>
      </c>
      <c r="O4" s="345">
        <v>13</v>
      </c>
    </row>
    <row r="5" spans="2:19" s="346" customFormat="1" ht="15" customHeight="1" x14ac:dyDescent="0.25">
      <c r="B5" s="367" t="s">
        <v>58</v>
      </c>
      <c r="C5" s="446"/>
      <c r="D5" s="446"/>
      <c r="E5" s="446"/>
      <c r="F5" s="446"/>
      <c r="G5" s="446"/>
      <c r="H5" s="446"/>
      <c r="I5" s="446"/>
      <c r="J5" s="446"/>
      <c r="K5" s="446"/>
      <c r="L5" s="446"/>
      <c r="M5" s="446"/>
      <c r="N5" s="446"/>
      <c r="O5" s="450"/>
    </row>
    <row r="6" spans="2:19" s="346" customFormat="1" ht="15" customHeight="1" x14ac:dyDescent="0.3">
      <c r="B6" s="363" t="s">
        <v>34</v>
      </c>
      <c r="C6" s="447">
        <v>16376</v>
      </c>
      <c r="D6" s="447">
        <v>16868</v>
      </c>
      <c r="E6" s="447">
        <v>17380</v>
      </c>
      <c r="F6" s="447">
        <v>17897</v>
      </c>
      <c r="G6" s="447">
        <v>18433</v>
      </c>
      <c r="H6" s="447">
        <v>18985</v>
      </c>
      <c r="I6" s="447">
        <v>19554</v>
      </c>
      <c r="J6" s="447">
        <v>20142</v>
      </c>
      <c r="K6" s="447">
        <v>20747</v>
      </c>
      <c r="L6" s="447">
        <v>21364</v>
      </c>
      <c r="M6" s="447">
        <v>21901</v>
      </c>
      <c r="N6" s="447">
        <v>22445</v>
      </c>
      <c r="O6" s="451">
        <v>23235</v>
      </c>
      <c r="S6" s="351"/>
    </row>
    <row r="7" spans="2:19" s="346" customFormat="1" ht="15" customHeight="1" x14ac:dyDescent="0.25">
      <c r="B7" s="350" t="s">
        <v>46</v>
      </c>
      <c r="C7" s="448">
        <f t="shared" ref="C7:O7" si="0">C6/191</f>
        <v>85.738219895287955</v>
      </c>
      <c r="D7" s="448">
        <f t="shared" si="0"/>
        <v>88.314136125654457</v>
      </c>
      <c r="E7" s="448">
        <f t="shared" si="0"/>
        <v>90.994764397905755</v>
      </c>
      <c r="F7" s="448">
        <f t="shared" si="0"/>
        <v>93.701570680628279</v>
      </c>
      <c r="G7" s="448">
        <f t="shared" si="0"/>
        <v>96.507853403141368</v>
      </c>
      <c r="H7" s="448">
        <f t="shared" si="0"/>
        <v>99.397905759162299</v>
      </c>
      <c r="I7" s="448">
        <f t="shared" si="0"/>
        <v>102.37696335078535</v>
      </c>
      <c r="J7" s="448">
        <f t="shared" si="0"/>
        <v>105.45549738219896</v>
      </c>
      <c r="K7" s="448">
        <f t="shared" si="0"/>
        <v>108.62303664921465</v>
      </c>
      <c r="L7" s="448">
        <f t="shared" si="0"/>
        <v>111.85340314136126</v>
      </c>
      <c r="M7" s="448">
        <f t="shared" si="0"/>
        <v>114.66492146596859</v>
      </c>
      <c r="N7" s="448">
        <f t="shared" si="0"/>
        <v>117.5130890052356</v>
      </c>
      <c r="O7" s="452">
        <f t="shared" si="0"/>
        <v>121.64921465968587</v>
      </c>
    </row>
    <row r="8" spans="2:19" s="346" customFormat="1" ht="15" customHeight="1" thickBot="1" x14ac:dyDescent="0.3">
      <c r="B8" s="354" t="s">
        <v>111</v>
      </c>
      <c r="C8" s="449">
        <f t="shared" ref="C8:O8" si="1">(C7/7.5)</f>
        <v>11.431762652705061</v>
      </c>
      <c r="D8" s="449">
        <f t="shared" si="1"/>
        <v>11.775218150087261</v>
      </c>
      <c r="E8" s="449">
        <f t="shared" si="1"/>
        <v>12.132635253054101</v>
      </c>
      <c r="F8" s="449">
        <f t="shared" si="1"/>
        <v>12.493542757417105</v>
      </c>
      <c r="G8" s="449">
        <f t="shared" si="1"/>
        <v>12.867713787085515</v>
      </c>
      <c r="H8" s="449">
        <f t="shared" si="1"/>
        <v>13.25305410122164</v>
      </c>
      <c r="I8" s="449">
        <f t="shared" si="1"/>
        <v>13.650261780104712</v>
      </c>
      <c r="J8" s="449">
        <f t="shared" si="1"/>
        <v>14.060732984293194</v>
      </c>
      <c r="K8" s="449">
        <f t="shared" si="1"/>
        <v>14.483071553228621</v>
      </c>
      <c r="L8" s="449">
        <f t="shared" si="1"/>
        <v>14.913787085514834</v>
      </c>
      <c r="M8" s="449">
        <f t="shared" si="1"/>
        <v>15.288656195462478</v>
      </c>
      <c r="N8" s="449">
        <f t="shared" si="1"/>
        <v>15.668411867364746</v>
      </c>
      <c r="O8" s="453">
        <f t="shared" si="1"/>
        <v>16.219895287958117</v>
      </c>
      <c r="Q8" s="351"/>
    </row>
    <row r="9" spans="2:19" s="346" customFormat="1" ht="15" customHeight="1" x14ac:dyDescent="0.25">
      <c r="B9" s="367" t="s">
        <v>59</v>
      </c>
      <c r="C9" s="347"/>
      <c r="D9" s="347"/>
      <c r="E9" s="347"/>
      <c r="F9" s="347"/>
      <c r="G9" s="347"/>
      <c r="H9" s="347"/>
      <c r="I9" s="347"/>
      <c r="J9" s="347"/>
      <c r="K9" s="347"/>
      <c r="L9" s="348"/>
      <c r="M9" s="347"/>
      <c r="N9" s="347"/>
      <c r="O9" s="349"/>
      <c r="Q9" s="351"/>
    </row>
    <row r="10" spans="2:19" s="346" customFormat="1" ht="15" customHeight="1" x14ac:dyDescent="0.25">
      <c r="B10" s="363" t="s">
        <v>34</v>
      </c>
      <c r="C10" s="364">
        <v>18173</v>
      </c>
      <c r="D10" s="364">
        <v>18720</v>
      </c>
      <c r="E10" s="364">
        <v>19284</v>
      </c>
      <c r="F10" s="364">
        <v>19863</v>
      </c>
      <c r="G10" s="364">
        <v>20457</v>
      </c>
      <c r="H10" s="364">
        <v>21071</v>
      </c>
      <c r="I10" s="364">
        <v>21708</v>
      </c>
      <c r="J10" s="364">
        <v>22354</v>
      </c>
      <c r="K10" s="364">
        <v>23028</v>
      </c>
      <c r="L10" s="365">
        <v>23717</v>
      </c>
      <c r="M10" s="365">
        <v>24307</v>
      </c>
      <c r="N10" s="365">
        <v>24916</v>
      </c>
      <c r="O10" s="366">
        <v>25793</v>
      </c>
    </row>
    <row r="11" spans="2:19" s="346" customFormat="1" ht="15" customHeight="1" x14ac:dyDescent="0.25">
      <c r="B11" s="350" t="s">
        <v>46</v>
      </c>
      <c r="C11" s="352">
        <f t="shared" ref="C11:O11" si="2">C10/191</f>
        <v>95.146596858638745</v>
      </c>
      <c r="D11" s="352">
        <f t="shared" si="2"/>
        <v>98.010471204188477</v>
      </c>
      <c r="E11" s="352">
        <f t="shared" si="2"/>
        <v>100.96335078534031</v>
      </c>
      <c r="F11" s="352">
        <f t="shared" si="2"/>
        <v>103.99476439790575</v>
      </c>
      <c r="G11" s="352">
        <f t="shared" si="2"/>
        <v>107.10471204188482</v>
      </c>
      <c r="H11" s="352">
        <f t="shared" si="2"/>
        <v>110.31937172774869</v>
      </c>
      <c r="I11" s="352">
        <f t="shared" si="2"/>
        <v>113.6544502617801</v>
      </c>
      <c r="J11" s="352">
        <f t="shared" si="2"/>
        <v>117.03664921465969</v>
      </c>
      <c r="K11" s="352">
        <f t="shared" si="2"/>
        <v>120.56544502617801</v>
      </c>
      <c r="L11" s="352">
        <f t="shared" si="2"/>
        <v>124.17277486910994</v>
      </c>
      <c r="M11" s="352">
        <f t="shared" si="2"/>
        <v>127.26178010471205</v>
      </c>
      <c r="N11" s="352">
        <f t="shared" si="2"/>
        <v>130.45026178010471</v>
      </c>
      <c r="O11" s="353">
        <f t="shared" si="2"/>
        <v>135.04188481675394</v>
      </c>
      <c r="Q11" s="351"/>
      <c r="R11" s="351"/>
    </row>
    <row r="12" spans="2:19" s="346" customFormat="1" ht="15" customHeight="1" thickBot="1" x14ac:dyDescent="0.3">
      <c r="B12" s="354" t="s">
        <v>111</v>
      </c>
      <c r="C12" s="355">
        <f t="shared" ref="C12:O12" si="3">(C11/7.5)</f>
        <v>12.686212914485166</v>
      </c>
      <c r="D12" s="355">
        <f t="shared" si="3"/>
        <v>13.06806282722513</v>
      </c>
      <c r="E12" s="355">
        <f t="shared" si="3"/>
        <v>13.461780104712041</v>
      </c>
      <c r="F12" s="355">
        <f t="shared" si="3"/>
        <v>13.865968586387433</v>
      </c>
      <c r="G12" s="355">
        <f t="shared" si="3"/>
        <v>14.28062827225131</v>
      </c>
      <c r="H12" s="355">
        <f t="shared" si="3"/>
        <v>14.709249563699824</v>
      </c>
      <c r="I12" s="355">
        <f t="shared" si="3"/>
        <v>15.153926701570679</v>
      </c>
      <c r="J12" s="355">
        <f t="shared" si="3"/>
        <v>15.604886561954626</v>
      </c>
      <c r="K12" s="355">
        <f t="shared" si="3"/>
        <v>16.075392670157068</v>
      </c>
      <c r="L12" s="355">
        <f t="shared" si="3"/>
        <v>16.556369982547992</v>
      </c>
      <c r="M12" s="355">
        <f t="shared" si="3"/>
        <v>16.968237347294938</v>
      </c>
      <c r="N12" s="355">
        <f t="shared" si="3"/>
        <v>17.393368237347296</v>
      </c>
      <c r="O12" s="356">
        <f t="shared" si="3"/>
        <v>18.00558464223386</v>
      </c>
      <c r="Q12" s="351"/>
      <c r="R12" s="351"/>
    </row>
    <row r="13" spans="2:19" x14ac:dyDescent="0.25">
      <c r="F13" s="15" t="s">
        <v>0</v>
      </c>
      <c r="G13" s="15" t="s">
        <v>0</v>
      </c>
      <c r="H13" s="15" t="s">
        <v>0</v>
      </c>
      <c r="I13" s="15" t="s">
        <v>0</v>
      </c>
      <c r="J13" s="15" t="s">
        <v>0</v>
      </c>
      <c r="K13" s="15" t="s">
        <v>0</v>
      </c>
      <c r="L13" s="15" t="s">
        <v>0</v>
      </c>
      <c r="O13" s="31"/>
      <c r="P13" s="31"/>
      <c r="Q13" s="31"/>
      <c r="R13" s="179"/>
    </row>
    <row r="14" spans="2:19" x14ac:dyDescent="0.25">
      <c r="B14" s="15" t="s">
        <v>112</v>
      </c>
    </row>
    <row r="15" spans="2:19" x14ac:dyDescent="0.25">
      <c r="B15" s="15" t="s">
        <v>281</v>
      </c>
    </row>
  </sheetData>
  <phoneticPr fontId="5" type="noConversion"/>
  <printOptions horizontalCentered="1"/>
  <pageMargins left="0.7" right="0.7" top="0.75" bottom="0.75" header="0.3" footer="0.3"/>
  <pageSetup scale="79" orientation="landscape" r:id="rId1"/>
  <headerFooter alignWithMargins="0">
    <oddFooter>&amp;L&amp;"Arial,Bold"&amp;F&amp;C&amp;"Arial,Bold"&amp;D &amp;R&amp;"Arial,Bold"Appendix D-2</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1:P11"/>
  <sheetViews>
    <sheetView view="pageLayout" zoomScaleNormal="120" workbookViewId="0">
      <selection activeCell="P5" sqref="P5"/>
    </sheetView>
  </sheetViews>
  <sheetFormatPr defaultColWidth="8.7265625" defaultRowHeight="15" customHeight="1" x14ac:dyDescent="0.25"/>
  <cols>
    <col min="1" max="1" width="3.7265625" style="15" customWidth="1"/>
    <col min="2" max="15" width="8.7265625" style="15"/>
    <col min="16" max="16" width="3.7265625" style="15" customWidth="1"/>
    <col min="17" max="16384" width="8.7265625" style="15"/>
  </cols>
  <sheetData>
    <row r="1" spans="2:16" ht="15" customHeight="1" thickBot="1" x14ac:dyDescent="0.3"/>
    <row r="2" spans="2:16" s="361" customFormat="1" ht="20.149999999999999" customHeight="1" thickBot="1" x14ac:dyDescent="0.3">
      <c r="B2" s="358" t="s">
        <v>279</v>
      </c>
      <c r="C2" s="359"/>
      <c r="D2" s="359"/>
      <c r="E2" s="359"/>
      <c r="F2" s="359"/>
      <c r="G2" s="359"/>
      <c r="H2" s="359"/>
      <c r="I2" s="359"/>
      <c r="J2" s="359"/>
      <c r="K2" s="359"/>
      <c r="L2" s="359"/>
      <c r="M2" s="359"/>
      <c r="N2" s="359"/>
      <c r="O2" s="360" t="str">
        <f>ACCUM!A3</f>
        <v>FY'23</v>
      </c>
    </row>
    <row r="3" spans="2:16" ht="15" customHeight="1" thickBot="1" x14ac:dyDescent="0.3"/>
    <row r="4" spans="2:16" s="346" customFormat="1" ht="15" customHeight="1" thickBot="1" x14ac:dyDescent="0.3">
      <c r="B4" s="341"/>
      <c r="C4" s="343">
        <v>1</v>
      </c>
      <c r="D4" s="343">
        <v>2</v>
      </c>
      <c r="E4" s="343">
        <v>3</v>
      </c>
      <c r="F4" s="343">
        <v>4</v>
      </c>
      <c r="G4" s="343">
        <v>5</v>
      </c>
      <c r="H4" s="343">
        <v>6</v>
      </c>
      <c r="I4" s="343">
        <v>7</v>
      </c>
      <c r="J4" s="343">
        <v>8</v>
      </c>
      <c r="K4" s="343">
        <v>9</v>
      </c>
      <c r="L4" s="344">
        <v>10</v>
      </c>
      <c r="M4" s="343">
        <v>11</v>
      </c>
      <c r="N4" s="343">
        <v>12</v>
      </c>
      <c r="O4" s="345">
        <v>13</v>
      </c>
    </row>
    <row r="5" spans="2:16" s="346" customFormat="1" ht="15" customHeight="1" x14ac:dyDescent="0.25">
      <c r="B5" s="367" t="s">
        <v>34</v>
      </c>
      <c r="C5" s="368">
        <v>21335</v>
      </c>
      <c r="D5" s="368">
        <v>21975</v>
      </c>
      <c r="E5" s="368">
        <v>22634</v>
      </c>
      <c r="F5" s="368">
        <v>23314</v>
      </c>
      <c r="G5" s="368">
        <v>24014</v>
      </c>
      <c r="H5" s="368">
        <v>24735</v>
      </c>
      <c r="I5" s="368">
        <v>25481</v>
      </c>
      <c r="J5" s="368">
        <v>26239</v>
      </c>
      <c r="K5" s="368">
        <v>27029</v>
      </c>
      <c r="L5" s="368">
        <v>28529</v>
      </c>
      <c r="M5" s="368">
        <v>28752</v>
      </c>
      <c r="N5" s="368">
        <v>29245</v>
      </c>
      <c r="O5" s="369">
        <v>30278</v>
      </c>
    </row>
    <row r="6" spans="2:16" s="346" customFormat="1" ht="15" customHeight="1" x14ac:dyDescent="0.25">
      <c r="B6" s="350" t="s">
        <v>46</v>
      </c>
      <c r="C6" s="352">
        <f t="shared" ref="C6:O6" si="0">C5/191</f>
        <v>111.70157068062828</v>
      </c>
      <c r="D6" s="352">
        <f t="shared" si="0"/>
        <v>115.05235602094241</v>
      </c>
      <c r="E6" s="352">
        <f t="shared" si="0"/>
        <v>118.50261780104712</v>
      </c>
      <c r="F6" s="352">
        <f t="shared" si="0"/>
        <v>122.06282722513089</v>
      </c>
      <c r="G6" s="352">
        <f t="shared" si="0"/>
        <v>125.72774869109948</v>
      </c>
      <c r="H6" s="352">
        <f t="shared" si="0"/>
        <v>129.50261780104711</v>
      </c>
      <c r="I6" s="352">
        <f t="shared" si="0"/>
        <v>133.40837696335078</v>
      </c>
      <c r="J6" s="352">
        <f t="shared" si="0"/>
        <v>137.37696335078533</v>
      </c>
      <c r="K6" s="352">
        <f t="shared" si="0"/>
        <v>141.5130890052356</v>
      </c>
      <c r="L6" s="357">
        <f t="shared" si="0"/>
        <v>149.36649214659687</v>
      </c>
      <c r="M6" s="352">
        <f t="shared" si="0"/>
        <v>150.53403141361255</v>
      </c>
      <c r="N6" s="352">
        <f t="shared" si="0"/>
        <v>153.11518324607329</v>
      </c>
      <c r="O6" s="353">
        <f t="shared" si="0"/>
        <v>158.52356020942409</v>
      </c>
    </row>
    <row r="7" spans="2:16" s="346" customFormat="1" ht="15" customHeight="1" thickBot="1" x14ac:dyDescent="0.3">
      <c r="B7" s="354" t="s">
        <v>111</v>
      </c>
      <c r="C7" s="355">
        <f t="shared" ref="C7:O7" si="1">(C6/7.5)</f>
        <v>14.893542757417103</v>
      </c>
      <c r="D7" s="355">
        <f t="shared" si="1"/>
        <v>15.340314136125654</v>
      </c>
      <c r="E7" s="355">
        <f t="shared" si="1"/>
        <v>15.800349040139617</v>
      </c>
      <c r="F7" s="355">
        <f t="shared" si="1"/>
        <v>16.275043630017453</v>
      </c>
      <c r="G7" s="355">
        <f t="shared" si="1"/>
        <v>16.763699825479929</v>
      </c>
      <c r="H7" s="355">
        <f t="shared" si="1"/>
        <v>17.26701570680628</v>
      </c>
      <c r="I7" s="355">
        <f t="shared" si="1"/>
        <v>17.787783595113435</v>
      </c>
      <c r="J7" s="355">
        <f t="shared" si="1"/>
        <v>18.316928446771378</v>
      </c>
      <c r="K7" s="355">
        <f t="shared" si="1"/>
        <v>18.868411867364745</v>
      </c>
      <c r="L7" s="355">
        <f t="shared" si="1"/>
        <v>19.915532286212915</v>
      </c>
      <c r="M7" s="355">
        <f t="shared" si="1"/>
        <v>20.071204188481673</v>
      </c>
      <c r="N7" s="355">
        <f t="shared" si="1"/>
        <v>20.415357766143106</v>
      </c>
      <c r="O7" s="356">
        <f t="shared" si="1"/>
        <v>21.136474694589879</v>
      </c>
      <c r="P7" s="351"/>
    </row>
    <row r="8" spans="2:16" ht="15" customHeight="1" x14ac:dyDescent="0.25">
      <c r="O8" s="31"/>
      <c r="P8" s="31"/>
    </row>
    <row r="9" spans="2:16" ht="15" customHeight="1" x14ac:dyDescent="0.25">
      <c r="B9" s="15" t="s">
        <v>113</v>
      </c>
      <c r="P9" s="31"/>
    </row>
    <row r="10" spans="2:16" ht="15" customHeight="1" x14ac:dyDescent="0.25">
      <c r="B10" s="15" t="s">
        <v>280</v>
      </c>
    </row>
    <row r="11" spans="2:16" ht="15" customHeight="1" x14ac:dyDescent="0.25">
      <c r="G11" s="15" t="s">
        <v>0</v>
      </c>
      <c r="H11" s="15" t="s">
        <v>0</v>
      </c>
      <c r="I11" s="15" t="s">
        <v>0</v>
      </c>
      <c r="J11" s="15" t="s">
        <v>0</v>
      </c>
      <c r="K11" s="15" t="s">
        <v>0</v>
      </c>
      <c r="L11" s="15" t="s">
        <v>0</v>
      </c>
    </row>
  </sheetData>
  <phoneticPr fontId="5" type="noConversion"/>
  <printOptions horizontalCentered="1"/>
  <pageMargins left="0.7" right="0.7" top="0.75" bottom="0.75" header="0.3" footer="0.3"/>
  <pageSetup scale="97" orientation="landscape" r:id="rId1"/>
  <headerFooter alignWithMargins="0">
    <oddFooter>&amp;L&amp;"Arial,Bold"&amp;F&amp;C&amp;"Arial,Bold"&amp;D &amp;R&amp;"Arial,Bold"Appendix D-3</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A1:I25"/>
  <sheetViews>
    <sheetView showGridLines="0" view="pageLayout" zoomScaleNormal="120" workbookViewId="0">
      <selection activeCell="E28" sqref="E28"/>
    </sheetView>
  </sheetViews>
  <sheetFormatPr defaultColWidth="13.7265625" defaultRowHeight="12.5" x14ac:dyDescent="0.25"/>
  <cols>
    <col min="1" max="1" width="3.7265625" style="15" customWidth="1"/>
    <col min="2" max="2" width="10.7265625" style="18" customWidth="1"/>
    <col min="3" max="3" width="20.7265625" style="18" customWidth="1"/>
    <col min="4" max="4" width="20.7265625" style="372" customWidth="1"/>
    <col min="5" max="8" width="20.7265625" style="18" customWidth="1"/>
    <col min="9" max="9" width="3.7265625" style="15" customWidth="1"/>
    <col min="10" max="16384" width="13.7265625" style="15"/>
  </cols>
  <sheetData>
    <row r="1" spans="1:9" ht="13" thickBot="1" x14ac:dyDescent="0.3">
      <c r="A1" s="31"/>
      <c r="B1" s="212"/>
      <c r="C1" s="212"/>
      <c r="D1" s="212"/>
      <c r="E1" s="212"/>
      <c r="F1" s="212"/>
      <c r="G1" s="212"/>
      <c r="H1" s="212"/>
      <c r="I1" s="31"/>
    </row>
    <row r="2" spans="1:9" ht="20.149999999999999" customHeight="1" thickBot="1" x14ac:dyDescent="0.3">
      <c r="A2" s="31"/>
      <c r="B2" s="541" t="s">
        <v>283</v>
      </c>
      <c r="C2" s="542"/>
      <c r="D2" s="542"/>
      <c r="E2" s="542"/>
      <c r="F2" s="542"/>
      <c r="G2" s="542"/>
      <c r="H2" s="362" t="str">
        <f>ACCUM!A3</f>
        <v>FY'23</v>
      </c>
      <c r="I2" s="31"/>
    </row>
    <row r="3" spans="1:9" ht="13" thickBot="1" x14ac:dyDescent="0.3">
      <c r="A3" s="31"/>
      <c r="B3" s="212"/>
      <c r="C3" s="212"/>
      <c r="D3" s="212"/>
      <c r="E3" s="212"/>
      <c r="F3" s="231"/>
      <c r="G3" s="212"/>
      <c r="H3" s="212"/>
      <c r="I3" s="31"/>
    </row>
    <row r="4" spans="1:9" ht="13" x14ac:dyDescent="0.3">
      <c r="A4" s="31"/>
      <c r="B4" s="224"/>
      <c r="C4" s="224" t="s">
        <v>92</v>
      </c>
      <c r="D4" s="224" t="s">
        <v>291</v>
      </c>
      <c r="E4" s="224" t="s">
        <v>39</v>
      </c>
      <c r="F4" s="224" t="s">
        <v>39</v>
      </c>
      <c r="G4" s="224" t="s">
        <v>39</v>
      </c>
      <c r="H4" s="224" t="s">
        <v>39</v>
      </c>
      <c r="I4" s="31"/>
    </row>
    <row r="5" spans="1:9" ht="13.5" thickBot="1" x14ac:dyDescent="0.35">
      <c r="A5" s="31"/>
      <c r="B5" s="279"/>
      <c r="C5" s="279" t="s">
        <v>93</v>
      </c>
      <c r="D5" s="279" t="s">
        <v>94</v>
      </c>
      <c r="E5" s="279" t="s">
        <v>95</v>
      </c>
      <c r="F5" s="279" t="s">
        <v>63</v>
      </c>
      <c r="G5" s="279" t="s">
        <v>66</v>
      </c>
      <c r="H5" s="279" t="s">
        <v>119</v>
      </c>
      <c r="I5" s="31"/>
    </row>
    <row r="6" spans="1:9" ht="13.5" thickBot="1" x14ac:dyDescent="0.35">
      <c r="A6" s="31"/>
      <c r="B6" s="229" t="s">
        <v>81</v>
      </c>
      <c r="C6" s="229" t="s">
        <v>57</v>
      </c>
      <c r="D6" s="229" t="s">
        <v>57</v>
      </c>
      <c r="E6" s="229" t="s">
        <v>57</v>
      </c>
      <c r="F6" s="229" t="s">
        <v>57</v>
      </c>
      <c r="G6" s="229" t="s">
        <v>57</v>
      </c>
      <c r="H6" s="229" t="s">
        <v>57</v>
      </c>
      <c r="I6" s="31"/>
    </row>
    <row r="7" spans="1:9" x14ac:dyDescent="0.25">
      <c r="A7" s="31"/>
      <c r="B7" s="222">
        <v>1</v>
      </c>
      <c r="C7" s="430">
        <f>+ACCUM!B154</f>
        <v>12.230399999999999</v>
      </c>
      <c r="D7" s="430">
        <f>+ACCUM!G154</f>
        <v>12.573600000000001</v>
      </c>
      <c r="E7" s="430">
        <f>+ACCUM!C154</f>
        <v>13.416</v>
      </c>
      <c r="F7" s="430">
        <f>+ACCUM!D154</f>
        <v>13.6968</v>
      </c>
      <c r="G7" s="430">
        <f>+ACCUM!E154</f>
        <v>14.393599999999999</v>
      </c>
      <c r="H7" s="430">
        <f>+ACCUM!F154</f>
        <v>16.192799999999998</v>
      </c>
      <c r="I7" s="31"/>
    </row>
    <row r="8" spans="1:9" x14ac:dyDescent="0.25">
      <c r="A8" s="31"/>
      <c r="B8" s="222">
        <v>2</v>
      </c>
      <c r="C8" s="225">
        <f>+ACCUM!B155</f>
        <v>12.604799999999999</v>
      </c>
      <c r="D8" s="225">
        <f>+ACCUM!G155</f>
        <v>12.979200000000001</v>
      </c>
      <c r="E8" s="225">
        <f>+ACCUM!C155</f>
        <v>13.8528</v>
      </c>
      <c r="F8" s="225">
        <f>+ACCUM!D155</f>
        <v>14.154400000000001</v>
      </c>
      <c r="G8" s="225">
        <f>+ACCUM!E155</f>
        <v>14.872</v>
      </c>
      <c r="H8" s="225">
        <f>+ACCUM!F155</f>
        <v>16.712800000000001</v>
      </c>
      <c r="I8" s="31"/>
    </row>
    <row r="9" spans="1:9" x14ac:dyDescent="0.25">
      <c r="A9" s="31"/>
      <c r="B9" s="222">
        <v>3</v>
      </c>
      <c r="C9" s="225">
        <f>+ACCUM!B156</f>
        <v>13.0312</v>
      </c>
      <c r="D9" s="225">
        <f>+ACCUM!G156</f>
        <v>13.4056</v>
      </c>
      <c r="E9" s="225">
        <f>+ACCUM!C156</f>
        <v>14.3</v>
      </c>
      <c r="F9" s="225">
        <f>+ACCUM!D156</f>
        <v>14.612</v>
      </c>
      <c r="G9" s="225">
        <f>+ACCUM!E156</f>
        <v>15.3504</v>
      </c>
      <c r="H9" s="225">
        <f>+ACCUM!F156</f>
        <v>17.2744</v>
      </c>
      <c r="I9" s="31"/>
    </row>
    <row r="10" spans="1:9" x14ac:dyDescent="0.25">
      <c r="A10" s="31"/>
      <c r="B10" s="222">
        <v>4</v>
      </c>
      <c r="C10" s="225">
        <f>+ACCUM!B157</f>
        <v>13.4368</v>
      </c>
      <c r="D10" s="225">
        <f>+ACCUM!G157</f>
        <v>13.8424</v>
      </c>
      <c r="E10" s="225">
        <f>+ACCUM!C157</f>
        <v>14.768000000000001</v>
      </c>
      <c r="F10" s="225">
        <f>+ACCUM!D157</f>
        <v>15.08</v>
      </c>
      <c r="G10" s="225">
        <f>+ACCUM!E157</f>
        <v>15.8392</v>
      </c>
      <c r="H10" s="225">
        <f>+ACCUM!F157</f>
        <v>17.825600000000001</v>
      </c>
      <c r="I10" s="31"/>
    </row>
    <row r="11" spans="1:9" x14ac:dyDescent="0.25">
      <c r="A11" s="31"/>
      <c r="B11" s="222">
        <v>5</v>
      </c>
      <c r="C11" s="225">
        <f>+ACCUM!B158</f>
        <v>14.0192</v>
      </c>
      <c r="D11" s="225">
        <f>+ACCUM!G158</f>
        <v>14.279199999999999</v>
      </c>
      <c r="E11" s="225">
        <f>+ACCUM!C158</f>
        <v>15.2256</v>
      </c>
      <c r="F11" s="225">
        <f>+ACCUM!D158</f>
        <v>15.548</v>
      </c>
      <c r="G11" s="225">
        <f>+ACCUM!E158</f>
        <v>16.348800000000001</v>
      </c>
      <c r="H11" s="225">
        <f>+ACCUM!F158</f>
        <v>18.480799999999999</v>
      </c>
      <c r="I11" s="31"/>
    </row>
    <row r="12" spans="1:9" x14ac:dyDescent="0.25">
      <c r="A12" s="31"/>
      <c r="B12" s="222">
        <v>6</v>
      </c>
      <c r="C12" s="225">
        <f>+ACCUM!B159</f>
        <v>14.3208</v>
      </c>
      <c r="D12" s="225">
        <f>+ACCUM!G159</f>
        <v>14.747199999999999</v>
      </c>
      <c r="E12" s="225">
        <f>+ACCUM!C159</f>
        <v>15.7248</v>
      </c>
      <c r="F12" s="225">
        <f>+ACCUM!D159</f>
        <v>16.068000000000001</v>
      </c>
      <c r="G12" s="225">
        <f>+ACCUM!E159</f>
        <v>16.899999999999999</v>
      </c>
      <c r="H12" s="225">
        <f>+ACCUM!F159</f>
        <v>19.063199999999998</v>
      </c>
      <c r="I12" s="31"/>
    </row>
    <row r="13" spans="1:9" x14ac:dyDescent="0.25">
      <c r="A13" s="31"/>
      <c r="B13" s="222">
        <v>7</v>
      </c>
      <c r="C13" s="225">
        <f>+ACCUM!B160</f>
        <v>14.7888</v>
      </c>
      <c r="D13" s="225">
        <f>+ACCUM!G160</f>
        <v>15.204800000000001</v>
      </c>
      <c r="E13" s="225">
        <f>+ACCUM!C160</f>
        <v>16.224</v>
      </c>
      <c r="F13" s="225">
        <f>+ACCUM!D160</f>
        <v>16.556799999999999</v>
      </c>
      <c r="G13" s="225">
        <f>+ACCUM!E160</f>
        <v>17.409600000000001</v>
      </c>
      <c r="H13" s="225">
        <f>+ACCUM!F160</f>
        <v>19.645600000000002</v>
      </c>
      <c r="I13" s="31"/>
    </row>
    <row r="14" spans="1:9" x14ac:dyDescent="0.25">
      <c r="A14" s="31"/>
      <c r="B14" s="222">
        <v>8</v>
      </c>
      <c r="C14" s="225">
        <f>+ACCUM!B161</f>
        <v>15.2776</v>
      </c>
      <c r="D14" s="225">
        <f>+ACCUM!G161</f>
        <v>15.704000000000001</v>
      </c>
      <c r="E14" s="225">
        <f>+ACCUM!C161</f>
        <v>16.764800000000001</v>
      </c>
      <c r="F14" s="225">
        <f>+ACCUM!D161</f>
        <v>17.0976</v>
      </c>
      <c r="G14" s="225">
        <f>+ACCUM!E161</f>
        <v>17.992000000000001</v>
      </c>
      <c r="H14" s="225">
        <f>+ACCUM!F161</f>
        <v>20.28</v>
      </c>
      <c r="I14" s="31"/>
    </row>
    <row r="15" spans="1:9" x14ac:dyDescent="0.25">
      <c r="A15" s="31"/>
      <c r="B15" s="222">
        <v>9</v>
      </c>
      <c r="C15" s="225">
        <f>+ACCUM!B162</f>
        <v>15.766400000000001</v>
      </c>
      <c r="D15" s="225">
        <f>+ACCUM!G162</f>
        <v>16.2136</v>
      </c>
      <c r="E15" s="225">
        <f>+ACCUM!C162</f>
        <v>17.3264</v>
      </c>
      <c r="F15" s="225">
        <f>+ACCUM!D162</f>
        <v>17.659199999999998</v>
      </c>
      <c r="G15" s="225">
        <f>+ACCUM!E162</f>
        <v>18.574400000000001</v>
      </c>
      <c r="H15" s="225">
        <f>+ACCUM!F162</f>
        <v>20.945599999999999</v>
      </c>
      <c r="I15" s="31"/>
    </row>
    <row r="16" spans="1:9" x14ac:dyDescent="0.25">
      <c r="A16" s="31"/>
      <c r="B16" s="222">
        <v>10</v>
      </c>
      <c r="C16" s="225">
        <f>+ACCUM!B163</f>
        <v>16.276</v>
      </c>
      <c r="D16" s="225">
        <f>+ACCUM!G163</f>
        <v>16.7544</v>
      </c>
      <c r="E16" s="225">
        <f>+ACCUM!C163</f>
        <v>17.846399999999999</v>
      </c>
      <c r="F16" s="225">
        <f>+ACCUM!D163</f>
        <v>18.231200000000001</v>
      </c>
      <c r="G16" s="225">
        <f>+ACCUM!E163</f>
        <v>19.187999999999999</v>
      </c>
      <c r="H16" s="225">
        <f>+ACCUM!F163</f>
        <v>21.642399999999999</v>
      </c>
      <c r="I16" s="31"/>
    </row>
    <row r="17" spans="1:9" x14ac:dyDescent="0.25">
      <c r="A17" s="31"/>
      <c r="B17" s="222">
        <v>11</v>
      </c>
      <c r="C17" s="225">
        <f>+ACCUM!B164</f>
        <v>16.827200000000001</v>
      </c>
      <c r="D17" s="225">
        <f>+ACCUM!G164</f>
        <v>17.305599999999998</v>
      </c>
      <c r="E17" s="225">
        <f>+ACCUM!C164</f>
        <v>18.4496</v>
      </c>
      <c r="F17" s="225">
        <f>+ACCUM!D164</f>
        <v>18.813600000000001</v>
      </c>
      <c r="G17" s="225">
        <f>+ACCUM!E164</f>
        <v>19.780799999999999</v>
      </c>
      <c r="H17" s="225">
        <f>+ACCUM!F164</f>
        <v>22.339200000000002</v>
      </c>
      <c r="I17" s="31"/>
    </row>
    <row r="18" spans="1:9" x14ac:dyDescent="0.25">
      <c r="A18" s="31"/>
      <c r="B18" s="222">
        <v>12</v>
      </c>
      <c r="C18" s="225">
        <f>+ACCUM!B165</f>
        <v>17.347200000000001</v>
      </c>
      <c r="D18" s="225">
        <f>+ACCUM!G165</f>
        <v>17.825600000000001</v>
      </c>
      <c r="E18" s="225">
        <f>+ACCUM!C165</f>
        <v>19.042400000000001</v>
      </c>
      <c r="F18" s="225">
        <f>+ACCUM!D165</f>
        <v>19.416799999999999</v>
      </c>
      <c r="G18" s="225">
        <f>+ACCUM!E165</f>
        <v>20.415199999999999</v>
      </c>
      <c r="H18" s="225">
        <f>+ACCUM!F165</f>
        <v>23.046399999999998</v>
      </c>
      <c r="I18" s="31"/>
    </row>
    <row r="19" spans="1:9" x14ac:dyDescent="0.25">
      <c r="A19" s="31"/>
      <c r="B19" s="222">
        <v>13</v>
      </c>
      <c r="C19" s="225">
        <f>+ACCUM!B166</f>
        <v>17.898399999999999</v>
      </c>
      <c r="D19" s="225">
        <f>+ACCUM!G166</f>
        <v>18.418399999999998</v>
      </c>
      <c r="E19" s="225">
        <f>+ACCUM!C166</f>
        <v>19.635200000000001</v>
      </c>
      <c r="F19" s="225">
        <f>+ACCUM!D166</f>
        <v>20.071999999999999</v>
      </c>
      <c r="G19" s="225">
        <f>+ACCUM!E166</f>
        <v>21.091200000000001</v>
      </c>
      <c r="H19" s="225">
        <f>+ACCUM!F166</f>
        <v>23.753599999999999</v>
      </c>
      <c r="I19" s="31"/>
    </row>
    <row r="20" spans="1:9" x14ac:dyDescent="0.25">
      <c r="A20" s="31"/>
      <c r="B20" s="222">
        <v>14</v>
      </c>
      <c r="C20" s="225">
        <f>+ACCUM!B167</f>
        <v>18.480799999999999</v>
      </c>
      <c r="D20" s="225">
        <f>+ACCUM!G167</f>
        <v>19.021599999999999</v>
      </c>
      <c r="E20" s="225">
        <f>+ACCUM!C167</f>
        <v>20.269600000000001</v>
      </c>
      <c r="F20" s="225">
        <f>+ACCUM!D167</f>
        <v>20.706399999999999</v>
      </c>
      <c r="G20" s="225">
        <f>+ACCUM!E167</f>
        <v>21.767199999999999</v>
      </c>
      <c r="H20" s="225">
        <f>+ACCUM!F167</f>
        <v>24.575199999999999</v>
      </c>
      <c r="I20" s="31"/>
    </row>
    <row r="21" spans="1:9" x14ac:dyDescent="0.25">
      <c r="A21" s="31"/>
      <c r="B21" s="222">
        <v>15</v>
      </c>
      <c r="C21" s="225">
        <f>+ACCUM!B168</f>
        <v>19.084</v>
      </c>
      <c r="D21" s="225">
        <f>+ACCUM!G168</f>
        <v>19.6248</v>
      </c>
      <c r="E21" s="225">
        <f>+ACCUM!C168</f>
        <v>20.945599999999999</v>
      </c>
      <c r="F21" s="225">
        <f>+ACCUM!D168</f>
        <v>21.351199999999999</v>
      </c>
      <c r="G21" s="225">
        <f>+ACCUM!E168</f>
        <v>22.474399999999999</v>
      </c>
      <c r="H21" s="225">
        <f>+ACCUM!F168</f>
        <v>25.3552</v>
      </c>
      <c r="I21" s="31"/>
    </row>
    <row r="22" spans="1:9" ht="13" thickBot="1" x14ac:dyDescent="0.3">
      <c r="A22" s="31"/>
      <c r="B22" s="223">
        <v>16</v>
      </c>
      <c r="C22" s="226">
        <f>+ACCUM!B169</f>
        <v>19.6768</v>
      </c>
      <c r="D22" s="226">
        <f>+ACCUM!G169</f>
        <v>20.248799999999999</v>
      </c>
      <c r="E22" s="226">
        <f>+ACCUM!C169</f>
        <v>21.6112</v>
      </c>
      <c r="F22" s="226">
        <f>+ACCUM!D169</f>
        <v>22.037600000000001</v>
      </c>
      <c r="G22" s="226">
        <f>+ACCUM!E169</f>
        <v>23.202400000000001</v>
      </c>
      <c r="H22" s="226">
        <f>+ACCUM!F169</f>
        <v>26.155999999999999</v>
      </c>
      <c r="I22" s="31"/>
    </row>
    <row r="23" spans="1:9" x14ac:dyDescent="0.25">
      <c r="A23" s="31"/>
      <c r="B23" s="212"/>
      <c r="C23" s="212"/>
      <c r="D23" s="215"/>
      <c r="E23" s="212"/>
      <c r="F23" s="215"/>
      <c r="G23" s="212"/>
      <c r="H23" s="212"/>
      <c r="I23" s="31"/>
    </row>
    <row r="24" spans="1:9" x14ac:dyDescent="0.25">
      <c r="A24" s="31"/>
      <c r="B24" s="212"/>
      <c r="C24" s="212"/>
      <c r="D24" s="212"/>
      <c r="E24" s="212"/>
      <c r="F24" s="34"/>
      <c r="G24" s="34"/>
      <c r="H24" s="212"/>
      <c r="I24" s="31"/>
    </row>
    <row r="25" spans="1:9" x14ac:dyDescent="0.25">
      <c r="B25" s="131" t="s">
        <v>282</v>
      </c>
    </row>
  </sheetData>
  <mergeCells count="1">
    <mergeCell ref="B2:G2"/>
  </mergeCells>
  <phoneticPr fontId="5" type="noConversion"/>
  <printOptions horizontalCentered="1"/>
  <pageMargins left="0.7" right="0.7" top="0.75" bottom="0.75" header="0.3" footer="0.3"/>
  <pageSetup scale="87" orientation="landscape" r:id="rId1"/>
  <headerFooter alignWithMargins="0">
    <oddFooter>&amp;L&amp;"Arial,Bold"&amp;F&amp;C&amp;"Arial,Bold"&amp;D &amp;R&amp;"Arial,Bold"Appendix D-4</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A1:I27"/>
  <sheetViews>
    <sheetView showGridLines="0" view="pageLayout" zoomScaleNormal="120" workbookViewId="0">
      <selection activeCell="C8" sqref="C8"/>
    </sheetView>
  </sheetViews>
  <sheetFormatPr defaultColWidth="14.7265625" defaultRowHeight="15" customHeight="1" x14ac:dyDescent="0.25"/>
  <cols>
    <col min="1" max="1" width="3.7265625" style="15" customWidth="1"/>
    <col min="2" max="2" width="10.7265625" style="15" customWidth="1"/>
    <col min="3" max="7" width="20.7265625" style="15" customWidth="1"/>
    <col min="8" max="8" width="3.7265625" style="15" customWidth="1"/>
    <col min="9" max="16384" width="14.7265625" style="15"/>
  </cols>
  <sheetData>
    <row r="1" spans="1:9" ht="15" customHeight="1" thickBot="1" x14ac:dyDescent="0.3">
      <c r="B1" s="208"/>
      <c r="C1" s="208"/>
      <c r="D1" s="208"/>
      <c r="E1" s="208"/>
      <c r="F1" s="208"/>
      <c r="G1" s="208"/>
    </row>
    <row r="2" spans="1:9" s="6" customFormat="1" ht="20.149999999999999" customHeight="1" thickBot="1" x14ac:dyDescent="0.4">
      <c r="B2" s="370" t="s">
        <v>249</v>
      </c>
      <c r="C2" s="216"/>
      <c r="D2" s="216"/>
      <c r="E2" s="216"/>
      <c r="F2" s="216"/>
      <c r="G2" s="371" t="str">
        <f>+ACCUM!A3</f>
        <v>FY'23</v>
      </c>
    </row>
    <row r="3" spans="1:9" ht="15" customHeight="1" thickBot="1" x14ac:dyDescent="0.3">
      <c r="A3" s="31"/>
      <c r="B3" s="211"/>
      <c r="C3" s="209"/>
      <c r="D3" s="209"/>
      <c r="E3" s="209"/>
      <c r="F3" s="209"/>
      <c r="G3" s="374"/>
    </row>
    <row r="4" spans="1:9" ht="15" customHeight="1" x14ac:dyDescent="0.3">
      <c r="A4" s="31"/>
      <c r="B4" s="224"/>
      <c r="C4" s="224" t="s">
        <v>92</v>
      </c>
      <c r="D4" s="224" t="s">
        <v>39</v>
      </c>
      <c r="E4" s="224" t="s">
        <v>39</v>
      </c>
      <c r="F4" s="280" t="s">
        <v>39</v>
      </c>
      <c r="G4" s="224" t="s">
        <v>39</v>
      </c>
      <c r="I4" s="31"/>
    </row>
    <row r="5" spans="1:9" ht="15" customHeight="1" thickBot="1" x14ac:dyDescent="0.35">
      <c r="A5" s="31"/>
      <c r="B5" s="279"/>
      <c r="C5" s="279" t="s">
        <v>93</v>
      </c>
      <c r="D5" s="279" t="s">
        <v>95</v>
      </c>
      <c r="E5" s="279" t="s">
        <v>63</v>
      </c>
      <c r="F5" s="281" t="s">
        <v>66</v>
      </c>
      <c r="G5" s="279" t="s">
        <v>119</v>
      </c>
      <c r="I5" s="31"/>
    </row>
    <row r="6" spans="1:9" ht="15" customHeight="1" thickBot="1" x14ac:dyDescent="0.35">
      <c r="A6" s="31"/>
      <c r="B6" s="229" t="s">
        <v>81</v>
      </c>
      <c r="C6" s="282" t="s">
        <v>57</v>
      </c>
      <c r="D6" s="229" t="s">
        <v>57</v>
      </c>
      <c r="E6" s="283" t="s">
        <v>57</v>
      </c>
      <c r="F6" s="229" t="s">
        <v>57</v>
      </c>
      <c r="G6" s="229" t="s">
        <v>57</v>
      </c>
      <c r="I6" s="31"/>
    </row>
    <row r="7" spans="1:9" ht="15" customHeight="1" x14ac:dyDescent="0.25">
      <c r="B7" s="222">
        <v>0</v>
      </c>
      <c r="C7" s="232">
        <f>+ACCUM!H154</f>
        <v>12.4262</v>
      </c>
      <c r="D7" s="225">
        <f>+ACCUM!I154</f>
        <v>13.224500000000001</v>
      </c>
      <c r="E7" s="218">
        <f>+ACCUM!J154</f>
        <v>13.518599999999999</v>
      </c>
      <c r="F7" s="225">
        <f>+ACCUM!K154</f>
        <v>14.2014</v>
      </c>
      <c r="G7" s="225">
        <f>+ACCUM!L154</f>
        <v>15.9451</v>
      </c>
    </row>
    <row r="8" spans="1:9" ht="15" customHeight="1" x14ac:dyDescent="0.25">
      <c r="B8" s="222">
        <v>1</v>
      </c>
      <c r="C8" s="232">
        <f>+ACCUM!H155</f>
        <v>12.8149</v>
      </c>
      <c r="D8" s="225">
        <f>+ACCUM!I155</f>
        <v>13.6342</v>
      </c>
      <c r="E8" s="218">
        <f>+ACCUM!J155</f>
        <v>13.9283</v>
      </c>
      <c r="F8" s="225">
        <f>+ACCUM!K155</f>
        <v>14.632099999999999</v>
      </c>
      <c r="G8" s="225">
        <f>+ACCUM!L155</f>
        <v>16.438800000000001</v>
      </c>
    </row>
    <row r="9" spans="1:9" ht="15" customHeight="1" x14ac:dyDescent="0.25">
      <c r="B9" s="222">
        <v>2</v>
      </c>
      <c r="C9" s="232">
        <f>+ACCUM!H156</f>
        <v>13.214</v>
      </c>
      <c r="D9" s="225">
        <f>+ACCUM!I156</f>
        <v>14.0649</v>
      </c>
      <c r="E9" s="218">
        <f>+ACCUM!J156</f>
        <v>14.359</v>
      </c>
      <c r="F9" s="225">
        <f>+ACCUM!K156</f>
        <v>15.0837</v>
      </c>
      <c r="G9" s="225">
        <f>+ACCUM!L156</f>
        <v>16.953499999999998</v>
      </c>
    </row>
    <row r="10" spans="1:9" ht="15" customHeight="1" x14ac:dyDescent="0.25">
      <c r="B10" s="222">
        <v>3</v>
      </c>
      <c r="C10" s="232">
        <f>+ACCUM!H157</f>
        <v>13.623699999999999</v>
      </c>
      <c r="D10" s="225">
        <f>+ACCUM!I157</f>
        <v>14.506</v>
      </c>
      <c r="E10" s="218">
        <f>+ACCUM!J157</f>
        <v>14.810600000000001</v>
      </c>
      <c r="F10" s="225">
        <f>+ACCUM!K157</f>
        <v>15.5564</v>
      </c>
      <c r="G10" s="225">
        <f>+ACCUM!L157</f>
        <v>17.4892</v>
      </c>
    </row>
    <row r="11" spans="1:9" ht="15" customHeight="1" x14ac:dyDescent="0.25">
      <c r="B11" s="222">
        <v>4</v>
      </c>
      <c r="C11" s="232">
        <f>+ACCUM!H158</f>
        <v>14.043799999999999</v>
      </c>
      <c r="D11" s="225">
        <f>+ACCUM!I158</f>
        <v>14.957700000000001</v>
      </c>
      <c r="E11" s="218">
        <f>+ACCUM!J158</f>
        <v>15.2728</v>
      </c>
      <c r="F11" s="225">
        <f>+ACCUM!K158</f>
        <v>16.0291</v>
      </c>
      <c r="G11" s="225">
        <f>+ACCUM!L158</f>
        <v>18.035399999999999</v>
      </c>
    </row>
    <row r="12" spans="1:9" ht="15" customHeight="1" x14ac:dyDescent="0.25">
      <c r="B12" s="222">
        <v>5</v>
      </c>
      <c r="C12" s="232">
        <f>+ACCUM!H159</f>
        <v>14.474500000000001</v>
      </c>
      <c r="D12" s="225">
        <f>+ACCUM!I159</f>
        <v>15.4094</v>
      </c>
      <c r="E12" s="218">
        <f>+ACCUM!J159</f>
        <v>15.766500000000001</v>
      </c>
      <c r="F12" s="225">
        <f>+ACCUM!K159</f>
        <v>16.543800000000001</v>
      </c>
      <c r="G12" s="225">
        <f>+ACCUM!L159</f>
        <v>18.581600000000002</v>
      </c>
    </row>
    <row r="13" spans="1:9" ht="15" customHeight="1" x14ac:dyDescent="0.25">
      <c r="B13" s="222">
        <v>6</v>
      </c>
      <c r="C13" s="232">
        <f>+ACCUM!H160</f>
        <v>14.9367</v>
      </c>
      <c r="D13" s="225">
        <f>+ACCUM!I160</f>
        <v>15.882</v>
      </c>
      <c r="E13" s="218">
        <f>+ACCUM!J160</f>
        <v>16.249700000000001</v>
      </c>
      <c r="F13" s="225">
        <f>+ACCUM!K160</f>
        <v>17.047999999999998</v>
      </c>
      <c r="G13" s="225">
        <f>+ACCUM!L160</f>
        <v>19.169799999999999</v>
      </c>
    </row>
    <row r="14" spans="1:9" ht="15" customHeight="1" x14ac:dyDescent="0.25">
      <c r="B14" s="222">
        <v>7</v>
      </c>
      <c r="C14" s="232">
        <f>+ACCUM!H161</f>
        <v>15.398899999999999</v>
      </c>
      <c r="D14" s="225">
        <f>+ACCUM!I161</f>
        <v>16.375699999999998</v>
      </c>
      <c r="E14" s="218">
        <f>+ACCUM!J161</f>
        <v>16.743400000000001</v>
      </c>
      <c r="F14" s="225">
        <f>+ACCUM!K161</f>
        <v>17.5732</v>
      </c>
      <c r="G14" s="225">
        <f>+ACCUM!L161</f>
        <v>19.757999999999999</v>
      </c>
    </row>
    <row r="15" spans="1:9" ht="15" customHeight="1" x14ac:dyDescent="0.25">
      <c r="B15" s="222">
        <v>8</v>
      </c>
      <c r="C15" s="232">
        <f>+ACCUM!H162</f>
        <v>15.871499999999999</v>
      </c>
      <c r="D15" s="225">
        <f>+ACCUM!I162</f>
        <v>16.879899999999999</v>
      </c>
      <c r="E15" s="218">
        <f>+ACCUM!J162</f>
        <v>17.258099999999999</v>
      </c>
      <c r="F15" s="225">
        <f>+ACCUM!K162</f>
        <v>18.119399999999999</v>
      </c>
      <c r="G15" s="225">
        <f>+ACCUM!L162</f>
        <v>20.3673</v>
      </c>
    </row>
    <row r="16" spans="1:9" ht="15" customHeight="1" x14ac:dyDescent="0.25">
      <c r="B16" s="222">
        <v>9</v>
      </c>
      <c r="C16" s="232">
        <f>+ACCUM!H163</f>
        <v>16.354700000000001</v>
      </c>
      <c r="D16" s="225">
        <f>+ACCUM!I163</f>
        <v>17.405100000000001</v>
      </c>
      <c r="E16" s="218">
        <f>+ACCUM!J163</f>
        <v>17.793800000000001</v>
      </c>
      <c r="F16" s="225">
        <f>+ACCUM!K163</f>
        <v>18.665600000000001</v>
      </c>
      <c r="G16" s="225">
        <f>+ACCUM!L163</f>
        <v>20.997499999999999</v>
      </c>
    </row>
    <row r="17" spans="1:9" ht="15" customHeight="1" x14ac:dyDescent="0.25">
      <c r="B17" s="222">
        <v>10</v>
      </c>
      <c r="C17" s="232">
        <f>+ACCUM!H164</f>
        <v>16.869399999999999</v>
      </c>
      <c r="D17" s="225">
        <f>+ACCUM!I164</f>
        <v>17.940799999999999</v>
      </c>
      <c r="E17" s="218">
        <f>+ACCUM!J164</f>
        <v>18.34</v>
      </c>
      <c r="F17" s="225">
        <f>+ACCUM!K164</f>
        <v>19.264299999999999</v>
      </c>
      <c r="G17" s="225">
        <f>+ACCUM!L164</f>
        <v>21.638200000000001</v>
      </c>
    </row>
    <row r="18" spans="1:9" ht="15" customHeight="1" thickBot="1" x14ac:dyDescent="0.3">
      <c r="B18" s="223">
        <v>11</v>
      </c>
      <c r="C18" s="233">
        <f>+ACCUM!H165</f>
        <v>17.394600000000001</v>
      </c>
      <c r="D18" s="226">
        <f>+ACCUM!I165</f>
        <v>18.518599999999999</v>
      </c>
      <c r="E18" s="220">
        <f>+ACCUM!J165</f>
        <v>18.9177</v>
      </c>
      <c r="F18" s="226">
        <f>+ACCUM!K165</f>
        <v>19.852599999999999</v>
      </c>
      <c r="G18" s="226">
        <f>+ACCUM!L165</f>
        <v>22.321000000000002</v>
      </c>
    </row>
    <row r="19" spans="1:9" ht="15" customHeight="1" x14ac:dyDescent="0.25">
      <c r="A19" s="31"/>
      <c r="B19" s="212"/>
      <c r="C19" s="212"/>
      <c r="D19" s="212"/>
      <c r="E19" s="212"/>
      <c r="F19" s="212"/>
      <c r="G19" s="212"/>
      <c r="H19" s="31"/>
      <c r="I19" s="31"/>
    </row>
    <row r="20" spans="1:9" ht="15" customHeight="1" x14ac:dyDescent="0.25">
      <c r="A20" s="31"/>
      <c r="B20" s="209"/>
      <c r="C20" s="209"/>
      <c r="D20" s="209"/>
      <c r="E20" s="209"/>
      <c r="F20" s="209"/>
      <c r="G20" s="209"/>
      <c r="H20" s="31"/>
      <c r="I20" s="31"/>
    </row>
    <row r="21" spans="1:9" ht="15" customHeight="1" x14ac:dyDescent="0.25">
      <c r="A21" s="31"/>
      <c r="B21" s="209"/>
      <c r="C21" s="211"/>
      <c r="D21" s="209"/>
      <c r="E21" s="209"/>
      <c r="F21" s="209"/>
      <c r="G21" s="209"/>
      <c r="H21" s="31"/>
      <c r="I21" s="31"/>
    </row>
    <row r="22" spans="1:9" ht="15" customHeight="1" x14ac:dyDescent="0.3">
      <c r="A22" s="31"/>
      <c r="B22" s="209"/>
      <c r="C22" s="230"/>
      <c r="D22" s="209"/>
      <c r="E22" s="214"/>
      <c r="F22" s="31"/>
      <c r="G22" s="209"/>
      <c r="H22" s="31"/>
      <c r="I22" s="31"/>
    </row>
    <row r="23" spans="1:9" ht="15" customHeight="1" x14ac:dyDescent="0.3">
      <c r="A23" s="31"/>
      <c r="B23" s="209"/>
      <c r="C23" s="230"/>
      <c r="D23" s="209"/>
      <c r="E23" s="214"/>
      <c r="F23" s="31"/>
      <c r="G23" s="209"/>
      <c r="H23" s="31"/>
      <c r="I23" s="31"/>
    </row>
    <row r="24" spans="1:9" ht="15" customHeight="1" x14ac:dyDescent="0.3">
      <c r="A24" s="31"/>
      <c r="B24" s="209"/>
      <c r="C24" s="230"/>
      <c r="D24" s="209"/>
      <c r="E24" s="210"/>
      <c r="F24" s="230"/>
      <c r="G24" s="209"/>
      <c r="H24" s="31"/>
      <c r="I24" s="31"/>
    </row>
    <row r="25" spans="1:9" ht="15" customHeight="1" x14ac:dyDescent="0.25">
      <c r="A25" s="31"/>
      <c r="B25" s="31"/>
      <c r="C25" s="31"/>
      <c r="D25" s="31"/>
      <c r="E25" s="31"/>
      <c r="F25" s="31"/>
      <c r="G25" s="31"/>
      <c r="H25" s="31"/>
      <c r="I25" s="31"/>
    </row>
    <row r="27" spans="1:9" ht="15" customHeight="1" x14ac:dyDescent="0.25">
      <c r="G27" s="31"/>
    </row>
  </sheetData>
  <printOptions horizontalCentered="1"/>
  <pageMargins left="0.7" right="0.7" top="0.75" bottom="0.75" header="0.3" footer="0.3"/>
  <pageSetup scale="91" orientation="landscape" r:id="rId1"/>
  <headerFooter alignWithMargins="0">
    <oddFooter>&amp;L&amp;"Arial,Bold"&amp;F&amp;C&amp;"Arial,Bold"&amp;D &amp;R&amp;"Arial,Bold"Appendix D-5</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A1:K24"/>
  <sheetViews>
    <sheetView showGridLines="0" showWhiteSpace="0" view="pageLayout" zoomScale="112" zoomScaleNormal="120" zoomScalePageLayoutView="112" workbookViewId="0">
      <selection activeCell="D18" sqref="D18"/>
    </sheetView>
  </sheetViews>
  <sheetFormatPr defaultColWidth="20.7265625" defaultRowHeight="15" customHeight="1" x14ac:dyDescent="0.25"/>
  <cols>
    <col min="1" max="1" width="3.7265625" customWidth="1"/>
    <col min="3" max="3" width="20.7265625" style="4"/>
    <col min="5" max="5" width="5.7265625" customWidth="1"/>
    <col min="9" max="9" width="3.7265625" customWidth="1"/>
  </cols>
  <sheetData>
    <row r="1" spans="1:11" ht="15" customHeight="1" thickBot="1" x14ac:dyDescent="0.35">
      <c r="A1" s="2"/>
      <c r="B1" s="15"/>
      <c r="C1" s="18"/>
      <c r="D1" s="15"/>
      <c r="E1" s="15"/>
      <c r="F1" s="15"/>
      <c r="G1" s="15"/>
      <c r="H1" s="15"/>
      <c r="I1" s="15"/>
    </row>
    <row r="2" spans="1:11" s="361" customFormat="1" ht="20.149999999999999" customHeight="1" thickBot="1" x14ac:dyDescent="0.3">
      <c r="B2" s="358" t="s">
        <v>107</v>
      </c>
      <c r="C2" s="373"/>
      <c r="D2" s="359"/>
      <c r="E2" s="359"/>
      <c r="F2" s="359"/>
      <c r="G2" s="359"/>
      <c r="H2" s="360" t="str">
        <f>ACCUM!A3</f>
        <v>FY'23</v>
      </c>
    </row>
    <row r="3" spans="1:11" ht="15" customHeight="1" x14ac:dyDescent="0.25">
      <c r="A3" s="15"/>
      <c r="B3" s="15"/>
      <c r="C3" s="18"/>
      <c r="D3" s="15"/>
      <c r="E3" s="15"/>
      <c r="F3" s="15"/>
      <c r="G3" s="15"/>
      <c r="H3" s="15"/>
      <c r="I3" s="15"/>
    </row>
    <row r="4" spans="1:11" ht="15" customHeight="1" thickBot="1" x14ac:dyDescent="0.3">
      <c r="A4" s="15"/>
      <c r="B4" s="31"/>
      <c r="C4" s="34"/>
      <c r="D4" s="31"/>
      <c r="E4" s="31"/>
      <c r="F4" s="31"/>
      <c r="G4" s="31"/>
      <c r="H4" s="31"/>
      <c r="I4" s="15"/>
    </row>
    <row r="5" spans="1:11" ht="15" customHeight="1" thickBot="1" x14ac:dyDescent="0.35">
      <c r="A5" s="15"/>
      <c r="C5" s="543" t="s">
        <v>54</v>
      </c>
      <c r="D5" s="544"/>
      <c r="E5" s="378"/>
      <c r="F5" s="543" t="s">
        <v>53</v>
      </c>
      <c r="G5" s="544"/>
      <c r="H5" s="379"/>
      <c r="I5" s="380"/>
      <c r="J5" s="379"/>
      <c r="K5" s="379"/>
    </row>
    <row r="6" spans="1:11" ht="15" customHeight="1" thickBot="1" x14ac:dyDescent="0.35">
      <c r="A6" s="15"/>
      <c r="B6" s="31"/>
      <c r="C6" s="381" t="s">
        <v>83</v>
      </c>
      <c r="D6" s="382" t="s">
        <v>57</v>
      </c>
      <c r="E6" s="383"/>
      <c r="F6" s="382" t="s">
        <v>83</v>
      </c>
      <c r="G6" s="384" t="s">
        <v>57</v>
      </c>
      <c r="H6" s="379"/>
      <c r="I6" s="380"/>
      <c r="J6" s="379"/>
      <c r="K6" s="379"/>
    </row>
    <row r="7" spans="1:11" ht="15" customHeight="1" x14ac:dyDescent="0.25">
      <c r="A7" s="15"/>
      <c r="B7" s="31"/>
      <c r="C7" s="396">
        <v>1</v>
      </c>
      <c r="D7" s="392">
        <v>11.18</v>
      </c>
      <c r="E7" s="378"/>
      <c r="F7" s="398">
        <v>1</v>
      </c>
      <c r="G7" s="394">
        <v>18.2</v>
      </c>
      <c r="H7" s="379"/>
      <c r="I7" s="380"/>
      <c r="J7" s="379"/>
      <c r="K7" s="379"/>
    </row>
    <row r="8" spans="1:11" ht="15" customHeight="1" x14ac:dyDescent="0.25">
      <c r="A8" s="15"/>
      <c r="B8" s="31"/>
      <c r="C8" s="396">
        <v>2</v>
      </c>
      <c r="D8" s="392">
        <v>11.5</v>
      </c>
      <c r="E8" s="378"/>
      <c r="F8" s="398">
        <v>2</v>
      </c>
      <c r="G8" s="394">
        <v>18.7928</v>
      </c>
      <c r="H8" s="379"/>
      <c r="I8" s="380"/>
      <c r="J8" s="379"/>
      <c r="K8" s="379"/>
    </row>
    <row r="9" spans="1:11" ht="15" customHeight="1" x14ac:dyDescent="0.25">
      <c r="A9" s="15"/>
      <c r="B9" s="31"/>
      <c r="C9" s="396">
        <v>3</v>
      </c>
      <c r="D9" s="392">
        <v>11.866400000000001</v>
      </c>
      <c r="E9" s="378"/>
      <c r="F9" s="398">
        <v>3</v>
      </c>
      <c r="G9" s="394">
        <v>19.4376</v>
      </c>
      <c r="H9" s="379"/>
      <c r="I9" s="380"/>
      <c r="J9" s="379"/>
      <c r="K9" s="379"/>
    </row>
    <row r="10" spans="1:11" ht="15" customHeight="1" x14ac:dyDescent="0.25">
      <c r="A10" s="15"/>
      <c r="B10" s="31"/>
      <c r="C10" s="396">
        <v>4</v>
      </c>
      <c r="D10" s="392">
        <v>12.230399999999999</v>
      </c>
      <c r="E10" s="378"/>
      <c r="F10" s="398">
        <v>4</v>
      </c>
      <c r="G10" s="394">
        <v>20.051200000000001</v>
      </c>
      <c r="H10" s="379"/>
      <c r="I10" s="380"/>
      <c r="J10" s="379"/>
      <c r="K10" s="379"/>
    </row>
    <row r="11" spans="1:11" ht="15" customHeight="1" thickBot="1" x14ac:dyDescent="0.3">
      <c r="A11" s="15"/>
      <c r="B11" s="31"/>
      <c r="C11" s="396">
        <v>5</v>
      </c>
      <c r="D11" s="392">
        <v>12.6152</v>
      </c>
      <c r="E11" s="378"/>
      <c r="F11" s="399">
        <v>5</v>
      </c>
      <c r="G11" s="395">
        <v>20.716799999999999</v>
      </c>
      <c r="H11" s="379"/>
      <c r="I11" s="380"/>
      <c r="J11" s="379"/>
      <c r="K11" s="379"/>
    </row>
    <row r="12" spans="1:11" ht="15" customHeight="1" x14ac:dyDescent="0.25">
      <c r="A12" s="15"/>
      <c r="B12" s="31"/>
      <c r="C12" s="396">
        <v>6</v>
      </c>
      <c r="D12" s="392">
        <v>13.020799999999999</v>
      </c>
      <c r="E12" s="378"/>
      <c r="F12" s="385"/>
      <c r="G12" s="378"/>
      <c r="H12" s="378"/>
      <c r="I12" s="380"/>
      <c r="J12" s="379"/>
      <c r="K12" s="379"/>
    </row>
    <row r="13" spans="1:11" ht="15" customHeight="1" x14ac:dyDescent="0.25">
      <c r="A13" s="15"/>
      <c r="B13" s="31"/>
      <c r="C13" s="396">
        <v>7</v>
      </c>
      <c r="D13" s="392">
        <v>13.4056</v>
      </c>
      <c r="E13" s="378"/>
      <c r="F13" s="385" t="s">
        <v>0</v>
      </c>
      <c r="G13" s="378"/>
      <c r="H13" s="378"/>
      <c r="I13" s="380"/>
      <c r="J13" s="379"/>
      <c r="K13" s="379"/>
    </row>
    <row r="14" spans="1:11" ht="15" customHeight="1" x14ac:dyDescent="0.25">
      <c r="A14" s="15"/>
      <c r="B14" s="31"/>
      <c r="C14" s="396">
        <v>8</v>
      </c>
      <c r="D14" s="392">
        <v>13.832000000000001</v>
      </c>
      <c r="E14" s="378"/>
      <c r="F14" s="385"/>
      <c r="G14" s="378"/>
      <c r="H14" s="378"/>
      <c r="I14" s="380"/>
      <c r="J14" s="379"/>
      <c r="K14" s="379"/>
    </row>
    <row r="15" spans="1:11" ht="15" customHeight="1" x14ac:dyDescent="0.25">
      <c r="A15" s="15"/>
      <c r="B15" s="31"/>
      <c r="C15" s="396">
        <v>9</v>
      </c>
      <c r="D15" s="392">
        <v>14.3</v>
      </c>
      <c r="E15" s="378"/>
      <c r="F15" s="385"/>
      <c r="G15" s="378"/>
      <c r="H15" s="378"/>
      <c r="I15" s="380"/>
      <c r="J15" s="379"/>
      <c r="K15" s="379"/>
    </row>
    <row r="16" spans="1:11" ht="15" customHeight="1" x14ac:dyDescent="0.25">
      <c r="A16" s="15"/>
      <c r="B16" s="31"/>
      <c r="C16" s="396">
        <v>10</v>
      </c>
      <c r="D16" s="392">
        <v>14.736800000000001</v>
      </c>
      <c r="E16" s="378"/>
      <c r="F16" s="385"/>
      <c r="G16" s="378"/>
      <c r="H16" s="378"/>
      <c r="I16" s="380"/>
      <c r="J16" s="379"/>
      <c r="K16" s="379"/>
    </row>
    <row r="17" spans="1:11" ht="15" customHeight="1" thickBot="1" x14ac:dyDescent="0.3">
      <c r="A17" s="15"/>
      <c r="B17" s="31"/>
      <c r="C17" s="397">
        <v>11</v>
      </c>
      <c r="D17" s="393">
        <v>15.204800000000001</v>
      </c>
      <c r="E17" s="378"/>
      <c r="F17" s="385"/>
      <c r="G17" s="378"/>
      <c r="H17" s="378"/>
      <c r="I17" s="380"/>
      <c r="J17" s="379"/>
      <c r="K17" s="379"/>
    </row>
    <row r="18" spans="1:11" ht="15" customHeight="1" x14ac:dyDescent="0.25">
      <c r="A18" s="15"/>
      <c r="B18" s="31"/>
      <c r="C18" s="378"/>
      <c r="D18" s="378"/>
      <c r="E18" s="378"/>
      <c r="F18" s="385"/>
      <c r="G18" s="385"/>
      <c r="H18" s="386"/>
      <c r="I18" s="380"/>
      <c r="J18" s="379"/>
      <c r="K18" s="379"/>
    </row>
    <row r="19" spans="1:11" ht="15" customHeight="1" x14ac:dyDescent="0.25">
      <c r="A19" s="15"/>
      <c r="B19" s="15"/>
      <c r="C19" s="387"/>
      <c r="D19" s="387"/>
      <c r="E19" s="387"/>
      <c r="F19" s="380"/>
      <c r="G19" s="380"/>
      <c r="H19" s="388"/>
      <c r="I19" s="380"/>
      <c r="J19" s="379"/>
      <c r="K19" s="379"/>
    </row>
    <row r="20" spans="1:11" ht="15" customHeight="1" x14ac:dyDescent="0.25">
      <c r="C20" s="389"/>
      <c r="D20" s="379"/>
      <c r="E20" s="379"/>
      <c r="F20" s="379"/>
      <c r="G20" s="379"/>
      <c r="H20" s="390"/>
      <c r="I20" s="379"/>
      <c r="J20" s="379"/>
      <c r="K20" s="379"/>
    </row>
    <row r="21" spans="1:11" ht="15" customHeight="1" x14ac:dyDescent="0.25">
      <c r="C21" s="389"/>
      <c r="D21" s="379"/>
      <c r="E21" s="379"/>
      <c r="F21" s="379"/>
      <c r="G21" s="379"/>
      <c r="H21" s="390"/>
      <c r="I21" s="379"/>
      <c r="J21" s="379"/>
      <c r="K21" s="379"/>
    </row>
    <row r="22" spans="1:11" ht="15" customHeight="1" x14ac:dyDescent="0.3">
      <c r="C22" s="389"/>
      <c r="D22" s="379"/>
      <c r="E22" s="379"/>
      <c r="F22" s="379"/>
      <c r="G22" s="391"/>
      <c r="H22" s="390"/>
      <c r="I22" s="379"/>
      <c r="J22" s="379"/>
      <c r="K22" s="379"/>
    </row>
    <row r="23" spans="1:11" ht="15" customHeight="1" x14ac:dyDescent="0.25">
      <c r="C23" s="389"/>
      <c r="D23" s="379"/>
      <c r="E23" s="379"/>
      <c r="F23" s="379"/>
      <c r="G23" s="379"/>
      <c r="H23" s="390"/>
      <c r="I23" s="379"/>
      <c r="J23" s="379"/>
      <c r="K23" s="379"/>
    </row>
    <row r="24" spans="1:11" ht="15" customHeight="1" x14ac:dyDescent="0.3">
      <c r="C24" s="389"/>
      <c r="D24" s="379"/>
      <c r="E24" s="379"/>
      <c r="F24" s="379"/>
      <c r="G24" s="391"/>
      <c r="H24" s="390"/>
      <c r="I24" s="379"/>
      <c r="J24" s="379"/>
      <c r="K24" s="379"/>
    </row>
  </sheetData>
  <mergeCells count="2">
    <mergeCell ref="C5:D5"/>
    <mergeCell ref="F5:G5"/>
  </mergeCells>
  <phoneticPr fontId="5" type="noConversion"/>
  <printOptions horizontalCentered="1"/>
  <pageMargins left="0.7" right="0.7" top="0.75" bottom="0.75" header="0.3" footer="0.3"/>
  <pageSetup scale="69" orientation="landscape" r:id="rId1"/>
  <headerFooter alignWithMargins="0">
    <oddFooter>&amp;L&amp;"Arial,Bold"&amp;F&amp;C&amp;"Arial,Bold"&amp;D &amp;R&amp;"Arial,Bold"Appendix D-6</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R223"/>
  <sheetViews>
    <sheetView showGridLines="0" topLeftCell="R184" zoomScaleNormal="100" workbookViewId="0">
      <selection activeCell="X212" sqref="X212"/>
    </sheetView>
  </sheetViews>
  <sheetFormatPr defaultColWidth="12.7265625" defaultRowHeight="15" customHeight="1" x14ac:dyDescent="0.25"/>
  <cols>
    <col min="1" max="10" width="12.7265625" style="15"/>
    <col min="11" max="11" width="14.54296875" style="15" customWidth="1"/>
    <col min="12" max="16384" width="12.7265625" style="15"/>
  </cols>
  <sheetData>
    <row r="1" spans="1:11" ht="15" customHeight="1" x14ac:dyDescent="0.35">
      <c r="A1" s="548" t="s">
        <v>136</v>
      </c>
      <c r="B1" s="549"/>
      <c r="C1" s="549"/>
      <c r="D1" s="549"/>
      <c r="E1" s="549"/>
      <c r="F1" s="549"/>
      <c r="G1" s="549"/>
      <c r="H1" s="549"/>
      <c r="I1" s="549"/>
      <c r="J1" s="549"/>
      <c r="K1" s="550"/>
    </row>
    <row r="2" spans="1:11" ht="15" customHeight="1" x14ac:dyDescent="0.25">
      <c r="A2" s="34" t="s">
        <v>133</v>
      </c>
      <c r="B2" s="37" t="s">
        <v>132</v>
      </c>
      <c r="C2" s="34"/>
      <c r="D2" s="247" t="s">
        <v>77</v>
      </c>
      <c r="E2" s="248">
        <f>+B3+1</f>
        <v>1.04</v>
      </c>
      <c r="F2" s="34"/>
      <c r="G2" s="31" t="s">
        <v>241</v>
      </c>
      <c r="H2" s="31"/>
      <c r="I2" s="31"/>
      <c r="J2" s="31"/>
      <c r="K2" s="31"/>
    </row>
    <row r="3" spans="1:11" ht="15" customHeight="1" x14ac:dyDescent="0.25">
      <c r="A3" s="249" t="s">
        <v>299</v>
      </c>
      <c r="B3" s="250">
        <v>0.04</v>
      </c>
      <c r="C3" s="34"/>
      <c r="D3" s="247"/>
      <c r="E3" s="248">
        <f>+E2</f>
        <v>1.04</v>
      </c>
      <c r="F3" s="34"/>
      <c r="G3" s="31"/>
      <c r="H3" s="19"/>
      <c r="I3" s="19"/>
      <c r="J3" s="19"/>
      <c r="K3" s="19"/>
    </row>
    <row r="4" spans="1:11" ht="15" customHeight="1" x14ac:dyDescent="0.25">
      <c r="A4" s="251" t="s">
        <v>164</v>
      </c>
      <c r="B4" s="252"/>
      <c r="C4" s="251" t="s">
        <v>166</v>
      </c>
      <c r="D4" s="252"/>
      <c r="E4" s="56"/>
      <c r="F4" s="57"/>
      <c r="G4" s="545" t="s">
        <v>199</v>
      </c>
      <c r="H4" s="546"/>
      <c r="I4" s="547"/>
      <c r="J4" s="19"/>
      <c r="K4" s="19"/>
    </row>
    <row r="5" spans="1:11" ht="15" customHeight="1" x14ac:dyDescent="0.25">
      <c r="A5" s="42" t="s">
        <v>134</v>
      </c>
      <c r="B5" s="34" t="s">
        <v>135</v>
      </c>
      <c r="C5" s="58" t="s">
        <v>167</v>
      </c>
      <c r="D5" s="31" t="s">
        <v>168</v>
      </c>
      <c r="E5" s="34" t="s">
        <v>169</v>
      </c>
      <c r="F5" s="43" t="s">
        <v>170</v>
      </c>
      <c r="G5" s="42" t="s">
        <v>40</v>
      </c>
      <c r="H5" s="34" t="s">
        <v>134</v>
      </c>
      <c r="I5" s="253" t="s">
        <v>135</v>
      </c>
      <c r="J5" s="254"/>
      <c r="K5" s="254"/>
    </row>
    <row r="6" spans="1:11" ht="15" customHeight="1" x14ac:dyDescent="0.25">
      <c r="A6" s="255">
        <v>68779</v>
      </c>
      <c r="B6" s="256">
        <f>+A6*E2</f>
        <v>71530.16</v>
      </c>
      <c r="C6" s="80">
        <v>92288</v>
      </c>
      <c r="D6" s="60">
        <f>+C6*$E$2</f>
        <v>95979.520000000004</v>
      </c>
      <c r="E6" s="81">
        <v>125246</v>
      </c>
      <c r="F6" s="49">
        <f>+E6*$E$2</f>
        <v>130255.84000000001</v>
      </c>
      <c r="G6" s="42" t="s">
        <v>58</v>
      </c>
      <c r="H6" s="47">
        <v>8.64</v>
      </c>
      <c r="I6" s="50">
        <f>(H6*$B$3)+H6</f>
        <v>8.9855999999999998</v>
      </c>
      <c r="J6" s="254"/>
      <c r="K6" s="254"/>
    </row>
    <row r="7" spans="1:11" ht="15" customHeight="1" x14ac:dyDescent="0.25">
      <c r="A7" s="41" t="s">
        <v>171</v>
      </c>
      <c r="B7" s="53"/>
      <c r="C7" s="80">
        <v>79103</v>
      </c>
      <c r="D7" s="60">
        <f>+C7*$E$2</f>
        <v>82267.12000000001</v>
      </c>
      <c r="E7" s="81">
        <v>112064</v>
      </c>
      <c r="F7" s="49">
        <f>+E7*$E$2</f>
        <v>116546.56</v>
      </c>
      <c r="G7" s="42" t="s">
        <v>59</v>
      </c>
      <c r="H7" s="47">
        <v>9.27</v>
      </c>
      <c r="I7" s="50">
        <f>(H7*$B$3)+H7</f>
        <v>9.6407999999999987</v>
      </c>
      <c r="J7" s="27"/>
      <c r="K7" s="26"/>
    </row>
    <row r="8" spans="1:11" ht="15" customHeight="1" x14ac:dyDescent="0.25">
      <c r="A8" s="42" t="s">
        <v>134</v>
      </c>
      <c r="B8" s="253" t="s">
        <v>135</v>
      </c>
      <c r="C8" s="80">
        <v>52735</v>
      </c>
      <c r="D8" s="60">
        <f>+C8*$E$2</f>
        <v>54844.4</v>
      </c>
      <c r="E8" s="81">
        <v>92288</v>
      </c>
      <c r="F8" s="49">
        <f>+E8*$E$2</f>
        <v>95979.520000000004</v>
      </c>
      <c r="G8" s="42" t="s">
        <v>60</v>
      </c>
      <c r="H8" s="47">
        <v>10.73</v>
      </c>
      <c r="I8" s="50">
        <f>(H8*$B$3)+H8</f>
        <v>11.1592</v>
      </c>
      <c r="J8" s="27"/>
      <c r="K8" s="19"/>
    </row>
    <row r="9" spans="1:11" ht="15" customHeight="1" x14ac:dyDescent="0.25">
      <c r="A9" s="255">
        <v>40784</v>
      </c>
      <c r="B9" s="257">
        <f>+A9*E2</f>
        <v>42415.360000000001</v>
      </c>
      <c r="C9" s="82">
        <v>500</v>
      </c>
      <c r="D9" s="62">
        <f>+C9</f>
        <v>500</v>
      </c>
      <c r="E9" s="83">
        <v>500</v>
      </c>
      <c r="F9" s="61">
        <f>+E9</f>
        <v>500</v>
      </c>
      <c r="G9" s="44" t="s">
        <v>84</v>
      </c>
      <c r="H9" s="48">
        <v>7.58</v>
      </c>
      <c r="I9" s="51">
        <f>(H9*$B$3)+H9</f>
        <v>7.8832000000000004</v>
      </c>
      <c r="J9" s="25"/>
      <c r="K9" s="20"/>
    </row>
    <row r="10" spans="1:11" s="55" customFormat="1" ht="15" customHeight="1" x14ac:dyDescent="0.25">
      <c r="A10" s="251" t="s">
        <v>244</v>
      </c>
      <c r="B10" s="289"/>
      <c r="C10" s="41" t="s">
        <v>173</v>
      </c>
      <c r="D10" s="52"/>
      <c r="E10" s="53"/>
      <c r="F10" s="63"/>
      <c r="G10" s="20"/>
      <c r="H10" s="25"/>
      <c r="I10" s="294"/>
      <c r="J10" s="25"/>
      <c r="K10" s="20"/>
    </row>
    <row r="11" spans="1:11" s="55" customFormat="1" ht="15" customHeight="1" x14ac:dyDescent="0.25">
      <c r="A11" s="42" t="s">
        <v>134</v>
      </c>
      <c r="B11" s="253" t="s">
        <v>135</v>
      </c>
      <c r="C11" s="58" t="s">
        <v>86</v>
      </c>
      <c r="D11" s="31"/>
      <c r="E11" s="68">
        <v>30</v>
      </c>
      <c r="F11" s="63"/>
      <c r="G11" s="20"/>
      <c r="H11" s="25"/>
      <c r="I11" s="294"/>
      <c r="J11" s="25"/>
      <c r="K11" s="20"/>
    </row>
    <row r="12" spans="1:11" s="55" customFormat="1" ht="15" customHeight="1" x14ac:dyDescent="0.25">
      <c r="A12" s="293">
        <v>59556</v>
      </c>
      <c r="B12" s="295">
        <f>+A12*E2</f>
        <v>61938.240000000005</v>
      </c>
      <c r="C12" s="58" t="s">
        <v>85</v>
      </c>
      <c r="D12" s="31"/>
      <c r="E12" s="68">
        <v>30</v>
      </c>
      <c r="F12" s="63"/>
      <c r="G12" s="20"/>
      <c r="H12" s="25"/>
      <c r="I12" s="294"/>
      <c r="J12" s="25"/>
      <c r="K12" s="20"/>
    </row>
    <row r="13" spans="1:11" ht="15" customHeight="1" x14ac:dyDescent="0.25">
      <c r="A13" s="258" t="s">
        <v>172</v>
      </c>
      <c r="B13" s="259"/>
      <c r="C13" s="259"/>
      <c r="D13" s="65"/>
      <c r="E13" s="65"/>
      <c r="F13" s="65"/>
      <c r="G13" s="52"/>
      <c r="H13" s="52"/>
      <c r="I13" s="53"/>
    </row>
    <row r="14" spans="1:11" ht="15" customHeight="1" x14ac:dyDescent="0.25">
      <c r="A14" s="260" t="s">
        <v>134</v>
      </c>
      <c r="B14" s="20" t="s">
        <v>135</v>
      </c>
      <c r="C14" s="20" t="s">
        <v>134</v>
      </c>
      <c r="D14" s="20" t="s">
        <v>135</v>
      </c>
      <c r="E14" s="20" t="s">
        <v>134</v>
      </c>
      <c r="F14" s="20" t="s">
        <v>135</v>
      </c>
      <c r="G14" s="31"/>
      <c r="H14" s="20" t="s">
        <v>134</v>
      </c>
      <c r="I14" s="284" t="s">
        <v>135</v>
      </c>
    </row>
    <row r="15" spans="1:11" ht="15" customHeight="1" x14ac:dyDescent="0.25">
      <c r="A15" s="69">
        <v>75</v>
      </c>
      <c r="B15" s="63">
        <f>+A15*E2</f>
        <v>78</v>
      </c>
      <c r="C15" s="70">
        <v>79</v>
      </c>
      <c r="D15" s="63">
        <f>+C15*E2</f>
        <v>82.16</v>
      </c>
      <c r="E15" s="70">
        <v>81</v>
      </c>
      <c r="F15" s="63">
        <f>+E15*E2</f>
        <v>84.240000000000009</v>
      </c>
      <c r="G15" s="31" t="s">
        <v>242</v>
      </c>
      <c r="H15" s="70">
        <v>8.59</v>
      </c>
      <c r="I15" s="285">
        <f>+H15*E2</f>
        <v>8.9336000000000002</v>
      </c>
    </row>
    <row r="16" spans="1:11" ht="15" customHeight="1" x14ac:dyDescent="0.25">
      <c r="A16" s="71">
        <v>85</v>
      </c>
      <c r="B16" s="64">
        <f>+A16*E3</f>
        <v>88.4</v>
      </c>
      <c r="C16" s="72">
        <v>89</v>
      </c>
      <c r="D16" s="64">
        <f>+C16*E3</f>
        <v>92.56</v>
      </c>
      <c r="E16" s="72">
        <v>91</v>
      </c>
      <c r="F16" s="64">
        <f>+E16*E2</f>
        <v>94.64</v>
      </c>
      <c r="G16" s="45" t="s">
        <v>79</v>
      </c>
      <c r="H16" s="72">
        <v>7.62</v>
      </c>
      <c r="I16" s="286">
        <f>+H16*E3</f>
        <v>7.9248000000000003</v>
      </c>
      <c r="J16" s="38"/>
      <c r="K16" s="31"/>
    </row>
    <row r="17" spans="1:11" s="55" customFormat="1" ht="15" customHeight="1" x14ac:dyDescent="0.25">
      <c r="A17" s="291" t="s">
        <v>218</v>
      </c>
      <c r="C17" s="19" t="s">
        <v>167</v>
      </c>
      <c r="D17" s="19" t="s">
        <v>168</v>
      </c>
      <c r="E17" s="19" t="s">
        <v>169</v>
      </c>
      <c r="F17" s="292" t="s">
        <v>170</v>
      </c>
      <c r="K17" s="19"/>
    </row>
    <row r="18" spans="1:11" s="55" customFormat="1" ht="15" customHeight="1" x14ac:dyDescent="0.25">
      <c r="A18" s="58" t="s">
        <v>42</v>
      </c>
      <c r="C18" s="74">
        <v>35156</v>
      </c>
      <c r="D18" s="38">
        <f>+C18*$E$2</f>
        <v>36562.239999999998</v>
      </c>
      <c r="E18" s="74">
        <v>49804</v>
      </c>
      <c r="F18" s="59">
        <f>+E18*$E$2</f>
        <v>51796.160000000003</v>
      </c>
      <c r="K18" s="19"/>
    </row>
    <row r="19" spans="1:11" s="55" customFormat="1" ht="15" customHeight="1" x14ac:dyDescent="0.25">
      <c r="A19" s="58" t="s">
        <v>43</v>
      </c>
      <c r="C19" s="74">
        <v>39553</v>
      </c>
      <c r="D19" s="38">
        <f>+C19*$E$2</f>
        <v>41135.120000000003</v>
      </c>
      <c r="E19" s="74">
        <v>54200</v>
      </c>
      <c r="F19" s="59">
        <f>+E19*$E$2</f>
        <v>56368</v>
      </c>
      <c r="H19" s="19"/>
      <c r="I19" s="19"/>
      <c r="K19" s="19"/>
    </row>
    <row r="20" spans="1:11" s="55" customFormat="1" ht="15" customHeight="1" x14ac:dyDescent="0.25">
      <c r="A20" s="58" t="s">
        <v>126</v>
      </c>
      <c r="C20" s="74">
        <v>66547</v>
      </c>
      <c r="D20" s="38">
        <f>+C20*$E$2</f>
        <v>69208.88</v>
      </c>
      <c r="E20" s="74">
        <v>83184</v>
      </c>
      <c r="F20" s="59">
        <f>+E20*$E$2</f>
        <v>86511.360000000001</v>
      </c>
      <c r="G20" s="19"/>
      <c r="H20" s="19"/>
      <c r="I20" s="73"/>
      <c r="J20" s="27"/>
      <c r="K20" s="19"/>
    </row>
    <row r="21" spans="1:11" s="55" customFormat="1" ht="15" customHeight="1" x14ac:dyDescent="0.25">
      <c r="A21" s="58" t="s">
        <v>217</v>
      </c>
      <c r="C21" s="74">
        <v>52735</v>
      </c>
      <c r="D21" s="38">
        <f>+C21*$E$2</f>
        <v>54844.4</v>
      </c>
      <c r="E21" s="74">
        <v>92288</v>
      </c>
      <c r="F21" s="59">
        <f>+E21*$E$2</f>
        <v>95979.520000000004</v>
      </c>
      <c r="G21" s="291"/>
      <c r="H21" s="19"/>
      <c r="I21" s="73"/>
      <c r="J21" s="27"/>
      <c r="K21" s="19"/>
    </row>
    <row r="22" spans="1:11" s="160" customFormat="1" ht="15" customHeight="1" x14ac:dyDescent="0.35">
      <c r="A22" s="548" t="s">
        <v>245</v>
      </c>
      <c r="B22" s="549"/>
      <c r="C22" s="549"/>
      <c r="D22" s="549"/>
      <c r="E22" s="549"/>
      <c r="F22" s="549"/>
      <c r="G22" s="549"/>
      <c r="H22" s="549"/>
      <c r="I22" s="549"/>
      <c r="J22" s="549"/>
      <c r="K22" s="550"/>
    </row>
    <row r="23" spans="1:11" ht="15" customHeight="1" x14ac:dyDescent="0.25">
      <c r="A23" s="58" t="s">
        <v>238</v>
      </c>
      <c r="B23" s="38"/>
      <c r="C23" s="38"/>
      <c r="D23" s="38"/>
      <c r="E23" s="38"/>
      <c r="F23" s="38"/>
      <c r="G23" s="38"/>
      <c r="H23" s="38"/>
      <c r="I23" s="38"/>
      <c r="J23" s="59"/>
      <c r="K23" s="31"/>
    </row>
    <row r="24" spans="1:11" ht="15" customHeight="1" x14ac:dyDescent="0.25">
      <c r="A24" s="261" t="s">
        <v>82</v>
      </c>
      <c r="B24" s="262" t="s">
        <v>139</v>
      </c>
      <c r="C24" s="262" t="s">
        <v>140</v>
      </c>
      <c r="D24" s="262" t="s">
        <v>141</v>
      </c>
      <c r="E24" s="262" t="s">
        <v>142</v>
      </c>
      <c r="F24" s="262" t="s">
        <v>143</v>
      </c>
      <c r="G24" s="262" t="s">
        <v>144</v>
      </c>
      <c r="H24" s="262" t="s">
        <v>145</v>
      </c>
      <c r="I24" s="262" t="s">
        <v>146</v>
      </c>
      <c r="J24" s="263" t="s">
        <v>147</v>
      </c>
      <c r="K24" s="31"/>
    </row>
    <row r="25" spans="1:11" ht="15" customHeight="1" x14ac:dyDescent="0.25">
      <c r="A25" s="75">
        <v>1</v>
      </c>
      <c r="B25" s="299">
        <v>41390</v>
      </c>
      <c r="C25" s="299">
        <v>41390</v>
      </c>
      <c r="D25" s="299">
        <v>41390</v>
      </c>
      <c r="E25" s="299">
        <v>45528</v>
      </c>
      <c r="F25" s="299">
        <v>45528</v>
      </c>
      <c r="G25" s="299">
        <v>45528</v>
      </c>
      <c r="H25" s="299">
        <v>45528</v>
      </c>
      <c r="I25" s="299">
        <v>45528</v>
      </c>
      <c r="J25" s="300">
        <v>45528</v>
      </c>
      <c r="K25" s="31"/>
    </row>
    <row r="26" spans="1:11" ht="15" customHeight="1" x14ac:dyDescent="0.25">
      <c r="A26" s="75">
        <v>2</v>
      </c>
      <c r="B26" s="299">
        <v>43459</v>
      </c>
      <c r="C26" s="299">
        <v>44286</v>
      </c>
      <c r="D26" s="299">
        <v>45528</v>
      </c>
      <c r="E26" s="299">
        <v>47598</v>
      </c>
      <c r="F26" s="299">
        <v>48012</v>
      </c>
      <c r="G26" s="299">
        <v>48012</v>
      </c>
      <c r="H26" s="299">
        <v>48012</v>
      </c>
      <c r="I26" s="299">
        <v>48012</v>
      </c>
      <c r="J26" s="300">
        <v>48012</v>
      </c>
      <c r="K26" s="31"/>
    </row>
    <row r="27" spans="1:11" ht="15" customHeight="1" x14ac:dyDescent="0.25">
      <c r="A27" s="75">
        <v>3</v>
      </c>
      <c r="B27" s="299">
        <v>45528</v>
      </c>
      <c r="C27" s="299">
        <v>46356</v>
      </c>
      <c r="D27" s="299">
        <v>47598</v>
      </c>
      <c r="E27" s="299">
        <v>49667</v>
      </c>
      <c r="F27" s="299">
        <v>50080</v>
      </c>
      <c r="G27" s="299">
        <v>50495</v>
      </c>
      <c r="H27" s="299">
        <v>50495</v>
      </c>
      <c r="I27" s="299">
        <v>50495</v>
      </c>
      <c r="J27" s="300">
        <v>50495</v>
      </c>
      <c r="K27" s="31"/>
    </row>
    <row r="28" spans="1:11" ht="15" customHeight="1" x14ac:dyDescent="0.25">
      <c r="A28" s="75">
        <v>4</v>
      </c>
      <c r="B28" s="299">
        <v>47598</v>
      </c>
      <c r="C28" s="299">
        <v>48425</v>
      </c>
      <c r="D28" s="299">
        <v>49667</v>
      </c>
      <c r="E28" s="299">
        <v>51737</v>
      </c>
      <c r="F28" s="299">
        <v>52150</v>
      </c>
      <c r="G28" s="299">
        <v>52564</v>
      </c>
      <c r="H28" s="299">
        <v>53806</v>
      </c>
      <c r="I28" s="299">
        <v>54634</v>
      </c>
      <c r="J28" s="300">
        <v>54634</v>
      </c>
      <c r="K28" s="31"/>
    </row>
    <row r="29" spans="1:11" ht="15" customHeight="1" x14ac:dyDescent="0.25">
      <c r="A29" s="75">
        <v>5</v>
      </c>
      <c r="B29" s="299">
        <v>49667</v>
      </c>
      <c r="C29" s="299">
        <v>50495</v>
      </c>
      <c r="D29" s="299">
        <v>51737</v>
      </c>
      <c r="E29" s="299">
        <v>53806</v>
      </c>
      <c r="F29" s="299">
        <v>54219</v>
      </c>
      <c r="G29" s="299">
        <v>54634</v>
      </c>
      <c r="H29" s="299">
        <v>55876</v>
      </c>
      <c r="I29" s="299">
        <v>56703</v>
      </c>
      <c r="J29" s="300">
        <v>57945</v>
      </c>
      <c r="K29" s="31"/>
    </row>
    <row r="30" spans="1:11" ht="15" customHeight="1" x14ac:dyDescent="0.25">
      <c r="A30" s="75">
        <v>6</v>
      </c>
      <c r="B30" s="299">
        <v>51737</v>
      </c>
      <c r="C30" s="299">
        <v>52564</v>
      </c>
      <c r="D30" s="299">
        <v>53806</v>
      </c>
      <c r="E30" s="299">
        <v>55876</v>
      </c>
      <c r="F30" s="299">
        <v>56289</v>
      </c>
      <c r="G30" s="299">
        <v>56703</v>
      </c>
      <c r="H30" s="299">
        <v>57945</v>
      </c>
      <c r="I30" s="299">
        <v>58772</v>
      </c>
      <c r="J30" s="300">
        <v>60015</v>
      </c>
      <c r="K30" s="31"/>
    </row>
    <row r="31" spans="1:11" ht="15" customHeight="1" x14ac:dyDescent="0.25">
      <c r="A31" s="75">
        <v>7</v>
      </c>
      <c r="B31" s="299">
        <v>53392</v>
      </c>
      <c r="C31" s="299">
        <v>54219</v>
      </c>
      <c r="D31" s="299">
        <v>55462</v>
      </c>
      <c r="E31" s="299">
        <v>57945</v>
      </c>
      <c r="F31" s="299">
        <v>58358</v>
      </c>
      <c r="G31" s="299">
        <v>58772</v>
      </c>
      <c r="H31" s="299">
        <v>60015</v>
      </c>
      <c r="I31" s="299">
        <v>60842</v>
      </c>
      <c r="J31" s="300">
        <v>62084</v>
      </c>
      <c r="K31" s="31"/>
    </row>
    <row r="32" spans="1:11" ht="15" customHeight="1" x14ac:dyDescent="0.25">
      <c r="A32" s="75">
        <v>8</v>
      </c>
      <c r="B32" s="299">
        <v>54634</v>
      </c>
      <c r="C32" s="299">
        <v>55876</v>
      </c>
      <c r="D32" s="299">
        <v>57117</v>
      </c>
      <c r="E32" s="299">
        <v>60015</v>
      </c>
      <c r="F32" s="299">
        <v>60428</v>
      </c>
      <c r="G32" s="299">
        <v>60842</v>
      </c>
      <c r="H32" s="299">
        <v>62084</v>
      </c>
      <c r="I32" s="299">
        <v>62911</v>
      </c>
      <c r="J32" s="300">
        <v>64154</v>
      </c>
      <c r="K32" s="31"/>
    </row>
    <row r="33" spans="1:11" ht="15" customHeight="1" x14ac:dyDescent="0.25">
      <c r="A33" s="75">
        <v>9</v>
      </c>
      <c r="B33" s="299">
        <v>55876</v>
      </c>
      <c r="C33" s="299">
        <v>57117</v>
      </c>
      <c r="D33" s="299">
        <v>58772</v>
      </c>
      <c r="E33" s="299">
        <v>61670</v>
      </c>
      <c r="F33" s="299">
        <v>62084</v>
      </c>
      <c r="G33" s="299">
        <v>62911</v>
      </c>
      <c r="H33" s="299">
        <v>64154</v>
      </c>
      <c r="I33" s="299">
        <v>64981</v>
      </c>
      <c r="J33" s="300">
        <v>66223</v>
      </c>
      <c r="K33" s="31"/>
    </row>
    <row r="34" spans="1:11" ht="15" customHeight="1" x14ac:dyDescent="0.25">
      <c r="A34" s="75">
        <v>10</v>
      </c>
      <c r="B34" s="299">
        <v>57117</v>
      </c>
      <c r="C34" s="299">
        <v>58358</v>
      </c>
      <c r="D34" s="299">
        <v>60015</v>
      </c>
      <c r="E34" s="299">
        <v>63326</v>
      </c>
      <c r="F34" s="299">
        <v>63740</v>
      </c>
      <c r="G34" s="299">
        <v>64567</v>
      </c>
      <c r="H34" s="299">
        <v>66223</v>
      </c>
      <c r="I34" s="299">
        <v>67050</v>
      </c>
      <c r="J34" s="300">
        <v>68293</v>
      </c>
      <c r="K34" s="31"/>
    </row>
    <row r="35" spans="1:11" ht="15" customHeight="1" x14ac:dyDescent="0.25">
      <c r="A35" s="75">
        <v>11</v>
      </c>
      <c r="B35" s="299">
        <v>58358</v>
      </c>
      <c r="C35" s="299">
        <v>59601</v>
      </c>
      <c r="D35" s="299">
        <v>61256</v>
      </c>
      <c r="E35" s="299">
        <v>64567</v>
      </c>
      <c r="F35" s="299">
        <v>65395</v>
      </c>
      <c r="G35" s="299">
        <v>66223</v>
      </c>
      <c r="H35" s="299">
        <v>67879</v>
      </c>
      <c r="I35" s="299">
        <v>69120</v>
      </c>
      <c r="J35" s="300">
        <v>70362</v>
      </c>
      <c r="K35" s="31"/>
    </row>
    <row r="36" spans="1:11" ht="15" customHeight="1" x14ac:dyDescent="0.25">
      <c r="A36" s="75">
        <v>12</v>
      </c>
      <c r="B36" s="299">
        <v>59601</v>
      </c>
      <c r="C36" s="299">
        <v>60842</v>
      </c>
      <c r="D36" s="299">
        <v>62497</v>
      </c>
      <c r="E36" s="299">
        <v>65809</v>
      </c>
      <c r="F36" s="299">
        <v>66636</v>
      </c>
      <c r="G36" s="299">
        <v>67879</v>
      </c>
      <c r="H36" s="299">
        <v>69534</v>
      </c>
      <c r="I36" s="299">
        <v>70775</v>
      </c>
      <c r="J36" s="300">
        <v>72432</v>
      </c>
      <c r="K36" s="31"/>
    </row>
    <row r="37" spans="1:11" ht="15" customHeight="1" x14ac:dyDescent="0.25">
      <c r="A37" s="75">
        <v>13</v>
      </c>
      <c r="B37" s="299">
        <v>60428</v>
      </c>
      <c r="C37" s="299">
        <v>61670</v>
      </c>
      <c r="D37" s="299">
        <v>63740</v>
      </c>
      <c r="E37" s="299">
        <v>67050</v>
      </c>
      <c r="F37" s="299">
        <v>67879</v>
      </c>
      <c r="G37" s="299">
        <v>69534</v>
      </c>
      <c r="H37" s="299">
        <v>71189</v>
      </c>
      <c r="I37" s="299">
        <v>72432</v>
      </c>
      <c r="J37" s="300">
        <v>74501</v>
      </c>
      <c r="K37" s="31"/>
    </row>
    <row r="38" spans="1:11" ht="15" customHeight="1" x14ac:dyDescent="0.25">
      <c r="A38" s="75">
        <v>14</v>
      </c>
      <c r="B38" s="299">
        <v>61256</v>
      </c>
      <c r="C38" s="299">
        <v>62497</v>
      </c>
      <c r="D38" s="299">
        <v>64981</v>
      </c>
      <c r="E38" s="299">
        <v>68293</v>
      </c>
      <c r="F38" s="299">
        <v>69120</v>
      </c>
      <c r="G38" s="299">
        <v>70775</v>
      </c>
      <c r="H38" s="299">
        <v>72845</v>
      </c>
      <c r="I38" s="299">
        <v>74087</v>
      </c>
      <c r="J38" s="300">
        <v>76571</v>
      </c>
      <c r="K38" s="31"/>
    </row>
    <row r="39" spans="1:11" ht="15" customHeight="1" x14ac:dyDescent="0.25">
      <c r="A39" s="75">
        <v>15</v>
      </c>
      <c r="B39" s="299">
        <v>62084</v>
      </c>
      <c r="C39" s="299">
        <v>63326</v>
      </c>
      <c r="D39" s="299">
        <v>65809</v>
      </c>
      <c r="E39" s="299">
        <v>69534</v>
      </c>
      <c r="F39" s="299">
        <v>70362</v>
      </c>
      <c r="G39" s="299">
        <v>72018</v>
      </c>
      <c r="H39" s="299">
        <v>74501</v>
      </c>
      <c r="I39" s="299">
        <v>75742</v>
      </c>
      <c r="J39" s="300">
        <v>78640</v>
      </c>
      <c r="K39" s="31"/>
    </row>
    <row r="40" spans="1:11" ht="15" customHeight="1" x14ac:dyDescent="0.25">
      <c r="A40" s="75">
        <v>16</v>
      </c>
      <c r="B40" s="299">
        <v>62084</v>
      </c>
      <c r="C40" s="299">
        <v>63326</v>
      </c>
      <c r="D40" s="299">
        <v>65809</v>
      </c>
      <c r="E40" s="299">
        <v>69534</v>
      </c>
      <c r="F40" s="299">
        <v>70362</v>
      </c>
      <c r="G40" s="299">
        <v>72018</v>
      </c>
      <c r="H40" s="299">
        <v>74501</v>
      </c>
      <c r="I40" s="299">
        <v>75742</v>
      </c>
      <c r="J40" s="300">
        <v>78640</v>
      </c>
      <c r="K40" s="31"/>
    </row>
    <row r="41" spans="1:11" ht="15" customHeight="1" x14ac:dyDescent="0.25">
      <c r="A41" s="75">
        <v>17</v>
      </c>
      <c r="B41" s="299">
        <v>62084</v>
      </c>
      <c r="C41" s="299">
        <v>63326</v>
      </c>
      <c r="D41" s="299">
        <v>65809</v>
      </c>
      <c r="E41" s="299">
        <v>69534</v>
      </c>
      <c r="F41" s="299">
        <v>70362</v>
      </c>
      <c r="G41" s="299">
        <v>72018</v>
      </c>
      <c r="H41" s="299">
        <v>74501</v>
      </c>
      <c r="I41" s="299">
        <v>75742</v>
      </c>
      <c r="J41" s="300">
        <v>78640</v>
      </c>
      <c r="K41" s="31"/>
    </row>
    <row r="42" spans="1:11" ht="15" customHeight="1" x14ac:dyDescent="0.25">
      <c r="A42" s="75">
        <v>18</v>
      </c>
      <c r="B42" s="299">
        <v>62084</v>
      </c>
      <c r="C42" s="299">
        <v>63326</v>
      </c>
      <c r="D42" s="299">
        <v>65809</v>
      </c>
      <c r="E42" s="299">
        <v>69534</v>
      </c>
      <c r="F42" s="299">
        <v>70362</v>
      </c>
      <c r="G42" s="299">
        <v>72018</v>
      </c>
      <c r="H42" s="299">
        <v>74501</v>
      </c>
      <c r="I42" s="299">
        <v>75742</v>
      </c>
      <c r="J42" s="300">
        <v>78640</v>
      </c>
      <c r="K42" s="31"/>
    </row>
    <row r="43" spans="1:11" ht="15" customHeight="1" x14ac:dyDescent="0.25">
      <c r="A43" s="75">
        <v>19</v>
      </c>
      <c r="B43" s="299">
        <v>62084</v>
      </c>
      <c r="C43" s="299">
        <v>63326</v>
      </c>
      <c r="D43" s="299">
        <v>65809</v>
      </c>
      <c r="E43" s="299">
        <v>69534</v>
      </c>
      <c r="F43" s="299">
        <v>70362</v>
      </c>
      <c r="G43" s="299">
        <v>72018</v>
      </c>
      <c r="H43" s="299">
        <v>74501</v>
      </c>
      <c r="I43" s="299">
        <v>75742</v>
      </c>
      <c r="J43" s="300">
        <v>78640</v>
      </c>
      <c r="K43" s="31"/>
    </row>
    <row r="44" spans="1:11" s="31" customFormat="1" ht="15" customHeight="1" x14ac:dyDescent="0.25">
      <c r="A44" s="264">
        <v>20</v>
      </c>
      <c r="B44" s="299">
        <v>63740</v>
      </c>
      <c r="C44" s="299">
        <v>64981</v>
      </c>
      <c r="D44" s="299">
        <v>67464</v>
      </c>
      <c r="E44" s="299">
        <v>71189</v>
      </c>
      <c r="F44" s="299">
        <v>72018</v>
      </c>
      <c r="G44" s="299">
        <v>73673</v>
      </c>
      <c r="H44" s="299">
        <v>76156</v>
      </c>
      <c r="I44" s="299">
        <v>77398</v>
      </c>
      <c r="J44" s="300">
        <v>80295</v>
      </c>
    </row>
    <row r="45" spans="1:11" ht="15" customHeight="1" thickBot="1" x14ac:dyDescent="0.3">
      <c r="A45" s="75">
        <v>21</v>
      </c>
      <c r="B45" s="299">
        <v>65396</v>
      </c>
      <c r="C45" s="299">
        <v>66636</v>
      </c>
      <c r="D45" s="299">
        <v>69119</v>
      </c>
      <c r="E45" s="299">
        <v>72844</v>
      </c>
      <c r="F45" s="299">
        <v>73636</v>
      </c>
      <c r="G45" s="301">
        <v>75328</v>
      </c>
      <c r="H45" s="301">
        <v>77811</v>
      </c>
      <c r="I45" s="301">
        <v>79054</v>
      </c>
      <c r="J45" s="301">
        <v>81950</v>
      </c>
      <c r="K45" s="31"/>
    </row>
    <row r="46" spans="1:11" ht="15" customHeight="1" x14ac:dyDescent="0.25">
      <c r="A46" s="41" t="s">
        <v>148</v>
      </c>
      <c r="B46" s="52"/>
      <c r="C46" s="52"/>
      <c r="D46" s="52"/>
      <c r="E46" s="52"/>
      <c r="F46" s="52"/>
      <c r="G46" s="31"/>
      <c r="H46" s="31"/>
      <c r="I46" s="31"/>
      <c r="J46" s="31"/>
      <c r="K46" s="31"/>
    </row>
    <row r="47" spans="1:11" ht="15" customHeight="1" x14ac:dyDescent="0.25">
      <c r="A47" s="84" t="s">
        <v>82</v>
      </c>
      <c r="B47" s="89" t="s">
        <v>149</v>
      </c>
      <c r="C47" s="89" t="s">
        <v>150</v>
      </c>
      <c r="D47" s="89" t="s">
        <v>151</v>
      </c>
      <c r="E47" s="89" t="s">
        <v>152</v>
      </c>
      <c r="F47" s="89" t="s">
        <v>153</v>
      </c>
      <c r="G47" s="89"/>
      <c r="H47" s="89"/>
      <c r="I47" s="89"/>
      <c r="J47" s="89"/>
      <c r="K47" s="31"/>
    </row>
    <row r="48" spans="1:11" ht="15" customHeight="1" x14ac:dyDescent="0.25">
      <c r="A48" s="84">
        <v>0</v>
      </c>
      <c r="B48" s="299">
        <v>48646.5</v>
      </c>
      <c r="C48" s="299">
        <v>57953.87</v>
      </c>
      <c r="D48" s="299">
        <v>61056.32</v>
      </c>
      <c r="E48" s="299">
        <v>63538.29</v>
      </c>
      <c r="F48" s="299">
        <v>66020.25</v>
      </c>
      <c r="G48" s="85"/>
      <c r="H48" s="85"/>
      <c r="I48" s="85"/>
      <c r="J48" s="85"/>
      <c r="K48" s="31"/>
    </row>
    <row r="49" spans="1:11" ht="15" customHeight="1" x14ac:dyDescent="0.25">
      <c r="A49" s="84">
        <v>1</v>
      </c>
      <c r="B49" s="299">
        <v>49763.38</v>
      </c>
      <c r="C49" s="299">
        <v>59070.75</v>
      </c>
      <c r="D49" s="299">
        <v>62173.21</v>
      </c>
      <c r="E49" s="299">
        <v>64655.17</v>
      </c>
      <c r="F49" s="299">
        <v>67137.13</v>
      </c>
      <c r="G49" s="85"/>
      <c r="H49" s="85"/>
      <c r="I49" s="85"/>
      <c r="J49" s="85"/>
      <c r="K49" s="31"/>
    </row>
    <row r="50" spans="1:11" ht="15" customHeight="1" x14ac:dyDescent="0.25">
      <c r="A50" s="84">
        <v>2</v>
      </c>
      <c r="B50" s="299">
        <v>50880.27</v>
      </c>
      <c r="C50" s="299">
        <v>60187.63</v>
      </c>
      <c r="D50" s="299">
        <v>63290.09</v>
      </c>
      <c r="E50" s="299">
        <v>65772.05</v>
      </c>
      <c r="F50" s="299">
        <v>68254.02</v>
      </c>
      <c r="G50" s="85"/>
      <c r="H50" s="85"/>
      <c r="I50" s="85"/>
      <c r="J50" s="85"/>
    </row>
    <row r="51" spans="1:11" ht="15" customHeight="1" x14ac:dyDescent="0.25">
      <c r="A51" s="84">
        <v>3</v>
      </c>
      <c r="B51" s="299">
        <v>51997.15</v>
      </c>
      <c r="C51" s="299">
        <v>61304.52</v>
      </c>
      <c r="D51" s="299">
        <v>64406.97</v>
      </c>
      <c r="E51" s="299">
        <v>66888.94</v>
      </c>
      <c r="F51" s="299">
        <v>69370.899999999994</v>
      </c>
      <c r="G51" s="85"/>
      <c r="H51" s="85"/>
      <c r="I51" s="85"/>
      <c r="J51" s="85"/>
    </row>
    <row r="52" spans="1:11" ht="15" customHeight="1" x14ac:dyDescent="0.25">
      <c r="A52" s="84">
        <v>4</v>
      </c>
      <c r="B52" s="299">
        <v>53114.04</v>
      </c>
      <c r="C52" s="299">
        <v>62421.4</v>
      </c>
      <c r="D52" s="299">
        <v>65523.86</v>
      </c>
      <c r="E52" s="299">
        <v>68005.820000000007</v>
      </c>
      <c r="F52" s="299">
        <v>70487.789999999994</v>
      </c>
      <c r="G52" s="85"/>
      <c r="H52" s="85"/>
      <c r="I52" s="85"/>
      <c r="J52" s="85"/>
    </row>
    <row r="53" spans="1:11" ht="15" customHeight="1" x14ac:dyDescent="0.25">
      <c r="A53" s="84">
        <v>5</v>
      </c>
      <c r="B53" s="299">
        <v>54230.92</v>
      </c>
      <c r="C53" s="299">
        <v>63528.29</v>
      </c>
      <c r="D53" s="299">
        <v>66640.740000000005</v>
      </c>
      <c r="E53" s="299">
        <v>69122.710000000006</v>
      </c>
      <c r="F53" s="299">
        <v>71604.67</v>
      </c>
      <c r="G53" s="85"/>
      <c r="H53" s="85"/>
      <c r="I53" s="85"/>
      <c r="J53" s="85"/>
    </row>
    <row r="54" spans="1:11" ht="15" customHeight="1" x14ac:dyDescent="0.25">
      <c r="A54" s="84">
        <v>6</v>
      </c>
      <c r="B54" s="299">
        <v>55347.8</v>
      </c>
      <c r="C54" s="299">
        <v>64655.17</v>
      </c>
      <c r="D54" s="299">
        <v>67757.63</v>
      </c>
      <c r="E54" s="299">
        <v>70239.59</v>
      </c>
      <c r="F54" s="299">
        <v>72721.55</v>
      </c>
      <c r="G54" s="85"/>
      <c r="H54" s="85"/>
      <c r="I54" s="85"/>
      <c r="J54" s="85"/>
    </row>
    <row r="55" spans="1:11" ht="15" customHeight="1" x14ac:dyDescent="0.25">
      <c r="A55" s="84">
        <v>7</v>
      </c>
      <c r="B55" s="299">
        <v>56464.69</v>
      </c>
      <c r="C55" s="299">
        <v>65772.05</v>
      </c>
      <c r="D55" s="299">
        <v>68874.509999999995</v>
      </c>
      <c r="E55" s="299">
        <v>71356.47</v>
      </c>
      <c r="F55" s="299">
        <v>73838.44</v>
      </c>
      <c r="G55" s="85"/>
      <c r="H55" s="85"/>
      <c r="I55" s="85"/>
      <c r="J55" s="85"/>
    </row>
    <row r="56" spans="1:11" ht="15" customHeight="1" x14ac:dyDescent="0.25">
      <c r="A56" s="84">
        <v>8</v>
      </c>
      <c r="B56" s="299">
        <v>57209.279999999999</v>
      </c>
      <c r="C56" s="299">
        <v>66888.94</v>
      </c>
      <c r="D56" s="299">
        <v>69991.39</v>
      </c>
      <c r="E56" s="299">
        <v>72473.36</v>
      </c>
      <c r="F56" s="299">
        <v>74955.320000000007</v>
      </c>
      <c r="G56" s="85"/>
      <c r="H56" s="85"/>
      <c r="I56" s="85"/>
      <c r="J56" s="85"/>
    </row>
    <row r="57" spans="1:11" ht="15" customHeight="1" x14ac:dyDescent="0.25">
      <c r="A57" s="84">
        <v>9</v>
      </c>
      <c r="B57" s="299">
        <v>58698.46</v>
      </c>
      <c r="C57" s="299">
        <v>68005.820000000007</v>
      </c>
      <c r="D57" s="299">
        <v>71108.28</v>
      </c>
      <c r="E57" s="299">
        <v>73590.240000000005</v>
      </c>
      <c r="F57" s="299">
        <v>76072.210000000006</v>
      </c>
      <c r="G57" s="85"/>
      <c r="H57" s="85"/>
      <c r="I57" s="85"/>
      <c r="J57" s="85"/>
    </row>
    <row r="58" spans="1:11" ht="15" customHeight="1" x14ac:dyDescent="0.25">
      <c r="A58" s="84">
        <v>10</v>
      </c>
      <c r="B58" s="299">
        <v>59815.34</v>
      </c>
      <c r="C58" s="299">
        <v>69122.710000000006</v>
      </c>
      <c r="D58" s="299">
        <v>72225.16</v>
      </c>
      <c r="E58" s="299">
        <v>74707.13</v>
      </c>
      <c r="F58" s="299">
        <v>77189.09</v>
      </c>
      <c r="G58" s="85"/>
      <c r="H58" s="85"/>
      <c r="I58" s="85"/>
      <c r="J58" s="85"/>
    </row>
    <row r="59" spans="1:11" ht="15" customHeight="1" x14ac:dyDescent="0.25">
      <c r="A59" s="84">
        <v>11</v>
      </c>
      <c r="B59" s="299">
        <v>60932.22</v>
      </c>
      <c r="C59" s="299">
        <v>70239.59</v>
      </c>
      <c r="D59" s="299">
        <v>73342.039999999994</v>
      </c>
      <c r="E59" s="299">
        <v>75824.009999999995</v>
      </c>
      <c r="F59" s="299">
        <v>78305.97</v>
      </c>
      <c r="G59" s="85"/>
      <c r="H59" s="85"/>
      <c r="I59" s="85"/>
      <c r="J59" s="85"/>
    </row>
    <row r="60" spans="1:11" ht="15" customHeight="1" x14ac:dyDescent="0.25">
      <c r="A60" s="84">
        <v>12</v>
      </c>
      <c r="B60" s="299">
        <v>62049.11</v>
      </c>
      <c r="C60" s="299">
        <v>71356.47</v>
      </c>
      <c r="D60" s="299">
        <v>74458.929999999993</v>
      </c>
      <c r="E60" s="299">
        <v>76940.89</v>
      </c>
      <c r="F60" s="299">
        <v>79422.86</v>
      </c>
      <c r="G60" s="85"/>
      <c r="H60" s="85"/>
      <c r="I60" s="85"/>
      <c r="J60" s="85"/>
    </row>
    <row r="61" spans="1:11" ht="15" customHeight="1" x14ac:dyDescent="0.25">
      <c r="A61" s="84">
        <v>13</v>
      </c>
      <c r="B61" s="299">
        <v>63165.99</v>
      </c>
      <c r="C61" s="299">
        <v>72473.36</v>
      </c>
      <c r="D61" s="299">
        <v>75575.81</v>
      </c>
      <c r="E61" s="299">
        <v>78057.78</v>
      </c>
      <c r="F61" s="299">
        <v>80539.740000000005</v>
      </c>
      <c r="G61" s="85"/>
      <c r="H61" s="85"/>
      <c r="I61" s="85"/>
      <c r="J61" s="85"/>
    </row>
    <row r="62" spans="1:11" ht="15" customHeight="1" x14ac:dyDescent="0.25">
      <c r="A62" s="84">
        <v>14</v>
      </c>
      <c r="B62" s="299">
        <v>64282.879999999997</v>
      </c>
      <c r="C62" s="299">
        <v>73590.240000000005</v>
      </c>
      <c r="D62" s="299">
        <v>76861.47</v>
      </c>
      <c r="E62" s="299">
        <v>79174.66</v>
      </c>
      <c r="F62" s="299">
        <v>81656.63</v>
      </c>
      <c r="G62" s="85"/>
      <c r="H62" s="85"/>
      <c r="I62" s="85"/>
      <c r="J62" s="85"/>
    </row>
    <row r="63" spans="1:11" ht="15" customHeight="1" x14ac:dyDescent="0.25">
      <c r="A63" s="84">
        <v>15</v>
      </c>
      <c r="B63" s="299">
        <v>65399.76</v>
      </c>
      <c r="C63" s="299">
        <v>74707.13</v>
      </c>
      <c r="D63" s="299">
        <v>77809.58</v>
      </c>
      <c r="E63" s="299">
        <v>80291.539999999994</v>
      </c>
      <c r="F63" s="299">
        <v>82773.509999999995</v>
      </c>
      <c r="G63" s="85"/>
      <c r="H63" s="85"/>
      <c r="I63" s="85"/>
      <c r="J63" s="85"/>
    </row>
    <row r="64" spans="1:11" ht="15" customHeight="1" x14ac:dyDescent="0.25">
      <c r="A64" s="84">
        <v>16</v>
      </c>
      <c r="B64" s="299">
        <v>66516.639999999999</v>
      </c>
      <c r="C64" s="299">
        <v>75824.009999999995</v>
      </c>
      <c r="D64" s="299">
        <v>78926.460000000006</v>
      </c>
      <c r="E64" s="299">
        <v>81408.429999999993</v>
      </c>
      <c r="F64" s="299">
        <v>83890.39</v>
      </c>
      <c r="G64" s="85"/>
      <c r="H64" s="85"/>
      <c r="I64" s="85"/>
      <c r="J64" s="85"/>
    </row>
    <row r="65" spans="1:11" ht="15" customHeight="1" x14ac:dyDescent="0.25">
      <c r="A65" s="84">
        <v>17</v>
      </c>
      <c r="B65" s="299">
        <v>66516.639999999999</v>
      </c>
      <c r="C65" s="299">
        <v>75824.009999999995</v>
      </c>
      <c r="D65" s="299">
        <v>78926.460000000006</v>
      </c>
      <c r="E65" s="299">
        <v>81408.429999999993</v>
      </c>
      <c r="F65" s="299">
        <v>83890.39</v>
      </c>
      <c r="G65" s="85"/>
      <c r="H65" s="85"/>
      <c r="I65" s="85"/>
      <c r="J65" s="85"/>
    </row>
    <row r="66" spans="1:11" ht="15" customHeight="1" x14ac:dyDescent="0.25">
      <c r="A66" s="84">
        <v>18</v>
      </c>
      <c r="B66" s="299">
        <v>66516.639999999999</v>
      </c>
      <c r="C66" s="299">
        <v>75824.009999999995</v>
      </c>
      <c r="D66" s="299">
        <v>78926.460000000006</v>
      </c>
      <c r="E66" s="299">
        <v>81408.429999999993</v>
      </c>
      <c r="F66" s="299">
        <v>83890.39</v>
      </c>
      <c r="G66" s="85"/>
      <c r="H66" s="85"/>
      <c r="I66" s="85"/>
      <c r="J66" s="85"/>
    </row>
    <row r="67" spans="1:11" ht="15" customHeight="1" x14ac:dyDescent="0.25">
      <c r="A67" s="89">
        <v>19</v>
      </c>
      <c r="B67" s="299">
        <v>67633.53</v>
      </c>
      <c r="C67" s="299">
        <v>76940.89</v>
      </c>
      <c r="D67" s="299">
        <v>80043.350000000006</v>
      </c>
      <c r="E67" s="299">
        <v>82525.31</v>
      </c>
      <c r="F67" s="299">
        <v>85007.28</v>
      </c>
      <c r="G67" s="85"/>
      <c r="H67" s="85"/>
      <c r="I67" s="85"/>
      <c r="J67" s="85"/>
    </row>
    <row r="68" spans="1:11" ht="15" customHeight="1" x14ac:dyDescent="0.25">
      <c r="A68" s="84">
        <v>20</v>
      </c>
      <c r="B68" s="299">
        <v>67633.53</v>
      </c>
      <c r="C68" s="299">
        <v>76940.89</v>
      </c>
      <c r="D68" s="299">
        <v>80043.350000000006</v>
      </c>
      <c r="E68" s="299">
        <v>82525.31</v>
      </c>
      <c r="F68" s="299">
        <v>85007.28</v>
      </c>
      <c r="G68" s="85"/>
      <c r="H68" s="85"/>
      <c r="I68" s="85"/>
      <c r="J68" s="85"/>
    </row>
    <row r="69" spans="1:11" ht="15" customHeight="1" x14ac:dyDescent="0.25">
      <c r="A69" s="84">
        <v>21</v>
      </c>
      <c r="B69" s="299">
        <v>67633.53</v>
      </c>
      <c r="C69" s="299">
        <v>76940.89</v>
      </c>
      <c r="D69" s="299">
        <v>80043.350000000006</v>
      </c>
      <c r="E69" s="299">
        <v>82525.31</v>
      </c>
      <c r="F69" s="299">
        <v>85007.28</v>
      </c>
      <c r="G69" s="85"/>
      <c r="H69" s="85"/>
      <c r="I69" s="85"/>
      <c r="J69" s="85"/>
    </row>
    <row r="70" spans="1:11" ht="15" customHeight="1" x14ac:dyDescent="0.25">
      <c r="A70" s="84">
        <v>22</v>
      </c>
      <c r="B70" s="299">
        <v>68750.41</v>
      </c>
      <c r="C70" s="299">
        <v>78057.78</v>
      </c>
      <c r="D70" s="299">
        <v>81160.23</v>
      </c>
      <c r="E70" s="299">
        <v>83642.2</v>
      </c>
      <c r="F70" s="299">
        <v>86124.160000000003</v>
      </c>
      <c r="G70" s="85"/>
      <c r="H70" s="85"/>
      <c r="I70" s="85"/>
      <c r="J70" s="85"/>
    </row>
    <row r="71" spans="1:11" ht="15" customHeight="1" x14ac:dyDescent="0.25">
      <c r="A71" s="84">
        <v>23</v>
      </c>
      <c r="B71" s="299">
        <v>68750.41</v>
      </c>
      <c r="C71" s="299">
        <v>78057.78</v>
      </c>
      <c r="D71" s="299">
        <v>81160.23</v>
      </c>
      <c r="E71" s="299">
        <v>83642.2</v>
      </c>
      <c r="F71" s="299">
        <v>86124.160000000003</v>
      </c>
      <c r="G71" s="85"/>
      <c r="H71" s="85"/>
      <c r="I71" s="85"/>
      <c r="J71" s="85"/>
    </row>
    <row r="72" spans="1:11" ht="15" customHeight="1" x14ac:dyDescent="0.25">
      <c r="A72" s="84">
        <v>24</v>
      </c>
      <c r="B72" s="299">
        <v>68750.41</v>
      </c>
      <c r="C72" s="299">
        <v>78057.78</v>
      </c>
      <c r="D72" s="299">
        <v>81160.23</v>
      </c>
      <c r="E72" s="299">
        <v>83642.2</v>
      </c>
      <c r="F72" s="299">
        <v>86124.160000000003</v>
      </c>
      <c r="G72" s="85"/>
      <c r="H72" s="85"/>
      <c r="I72" s="85"/>
      <c r="J72" s="85"/>
    </row>
    <row r="73" spans="1:11" ht="15" customHeight="1" thickBot="1" x14ac:dyDescent="0.3">
      <c r="A73" s="84">
        <v>25</v>
      </c>
      <c r="B73" s="302">
        <v>70984.179999999993</v>
      </c>
      <c r="C73" s="302">
        <v>80291.539999999994</v>
      </c>
      <c r="D73" s="302">
        <v>83394</v>
      </c>
      <c r="E73" s="302">
        <v>85875.96</v>
      </c>
      <c r="F73" s="302">
        <v>88357.93</v>
      </c>
      <c r="G73" s="85"/>
      <c r="H73" s="85"/>
      <c r="I73" s="85"/>
      <c r="J73" s="85"/>
    </row>
    <row r="74" spans="1:11" ht="15" customHeight="1" x14ac:dyDescent="0.25">
      <c r="A74" s="41" t="s">
        <v>154</v>
      </c>
      <c r="B74" s="299">
        <v>70984.179999999993</v>
      </c>
      <c r="C74" s="299">
        <v>80291.539999999994</v>
      </c>
      <c r="D74" s="299">
        <v>83394</v>
      </c>
      <c r="E74" s="299">
        <v>85875.96</v>
      </c>
      <c r="F74" s="299">
        <v>88357.93</v>
      </c>
      <c r="G74" s="52" t="s">
        <v>175</v>
      </c>
      <c r="H74" s="52" t="s">
        <v>176</v>
      </c>
      <c r="I74" s="52" t="s">
        <v>177</v>
      </c>
      <c r="J74" s="52" t="s">
        <v>219</v>
      </c>
      <c r="K74" s="53" t="s">
        <v>220</v>
      </c>
    </row>
    <row r="75" spans="1:11" ht="15" customHeight="1" x14ac:dyDescent="0.25">
      <c r="A75" s="84" t="s">
        <v>82</v>
      </c>
      <c r="B75" s="89" t="s">
        <v>155</v>
      </c>
      <c r="C75" s="89" t="s">
        <v>156</v>
      </c>
      <c r="D75" s="89" t="s">
        <v>157</v>
      </c>
      <c r="E75" s="90" t="s">
        <v>158</v>
      </c>
      <c r="F75" s="84" t="s">
        <v>82</v>
      </c>
      <c r="G75" s="89" t="s">
        <v>159</v>
      </c>
      <c r="H75" s="89" t="s">
        <v>160</v>
      </c>
      <c r="I75" s="89" t="s">
        <v>161</v>
      </c>
      <c r="J75" s="89" t="s">
        <v>162</v>
      </c>
      <c r="K75" s="90" t="s">
        <v>163</v>
      </c>
    </row>
    <row r="76" spans="1:11" ht="15" customHeight="1" x14ac:dyDescent="0.25">
      <c r="A76" s="84" t="s">
        <v>82</v>
      </c>
      <c r="B76" s="89" t="s">
        <v>155</v>
      </c>
      <c r="C76" s="89" t="s">
        <v>156</v>
      </c>
      <c r="D76" s="89" t="s">
        <v>157</v>
      </c>
      <c r="E76" s="90" t="s">
        <v>158</v>
      </c>
      <c r="F76" s="84">
        <v>0</v>
      </c>
      <c r="G76" s="85">
        <v>52211</v>
      </c>
      <c r="H76" s="89"/>
      <c r="I76" s="85">
        <v>33921</v>
      </c>
      <c r="J76" s="85">
        <v>32033</v>
      </c>
      <c r="K76" s="90"/>
    </row>
    <row r="77" spans="1:11" ht="15" customHeight="1" x14ac:dyDescent="0.25">
      <c r="A77" s="84">
        <v>1</v>
      </c>
      <c r="B77" s="85">
        <v>51737</v>
      </c>
      <c r="C77" s="85">
        <v>51737</v>
      </c>
      <c r="D77" s="85">
        <v>51737</v>
      </c>
      <c r="E77" s="86">
        <v>51737</v>
      </c>
      <c r="F77" s="84">
        <v>1</v>
      </c>
      <c r="G77" s="85">
        <v>54232</v>
      </c>
      <c r="H77" s="85">
        <v>45405</v>
      </c>
      <c r="I77" s="85">
        <v>35236</v>
      </c>
      <c r="J77" s="85">
        <v>33272</v>
      </c>
      <c r="K77" s="86">
        <v>32150</v>
      </c>
    </row>
    <row r="78" spans="1:11" ht="15" customHeight="1" x14ac:dyDescent="0.25">
      <c r="A78" s="84">
        <v>2</v>
      </c>
      <c r="B78" s="85">
        <v>54219</v>
      </c>
      <c r="C78" s="85">
        <v>54219</v>
      </c>
      <c r="D78" s="85">
        <v>54219</v>
      </c>
      <c r="E78" s="86">
        <v>54219</v>
      </c>
      <c r="F78" s="84">
        <v>2</v>
      </c>
      <c r="G78" s="85">
        <v>56239</v>
      </c>
      <c r="H78" s="85">
        <v>47675</v>
      </c>
      <c r="I78" s="85">
        <v>36541</v>
      </c>
      <c r="J78" s="85">
        <v>34503</v>
      </c>
      <c r="K78" s="86">
        <v>33385</v>
      </c>
    </row>
    <row r="79" spans="1:11" ht="15" customHeight="1" x14ac:dyDescent="0.25">
      <c r="A79" s="84">
        <v>3</v>
      </c>
      <c r="B79" s="85">
        <v>56289</v>
      </c>
      <c r="C79" s="85">
        <v>56289</v>
      </c>
      <c r="D79" s="85">
        <v>56289</v>
      </c>
      <c r="E79" s="86">
        <v>56289</v>
      </c>
      <c r="F79" s="84">
        <v>3</v>
      </c>
      <c r="G79" s="85">
        <v>58219</v>
      </c>
      <c r="H79" s="85">
        <v>49946</v>
      </c>
      <c r="I79" s="85">
        <v>37828</v>
      </c>
      <c r="J79" s="85">
        <v>35721</v>
      </c>
      <c r="K79" s="86">
        <v>34437</v>
      </c>
    </row>
    <row r="80" spans="1:11" ht="15" customHeight="1" x14ac:dyDescent="0.25">
      <c r="A80" s="84">
        <v>4</v>
      </c>
      <c r="B80" s="85">
        <v>58772</v>
      </c>
      <c r="C80" s="85">
        <v>61256</v>
      </c>
      <c r="D80" s="85">
        <v>62084</v>
      </c>
      <c r="E80" s="86">
        <v>62084</v>
      </c>
      <c r="F80" s="84">
        <v>4</v>
      </c>
      <c r="G80" s="85">
        <v>60220</v>
      </c>
      <c r="H80" s="85">
        <v>52218</v>
      </c>
      <c r="I80" s="85">
        <v>39125</v>
      </c>
      <c r="J80" s="85">
        <v>36943</v>
      </c>
      <c r="K80" s="86">
        <v>35469</v>
      </c>
    </row>
    <row r="81" spans="1:11" ht="15" customHeight="1" x14ac:dyDescent="0.25">
      <c r="A81" s="84">
        <v>5</v>
      </c>
      <c r="B81" s="85">
        <v>61256</v>
      </c>
      <c r="C81" s="85">
        <v>63326</v>
      </c>
      <c r="D81" s="85">
        <v>64154</v>
      </c>
      <c r="E81" s="86">
        <v>65809</v>
      </c>
      <c r="F81" s="84">
        <v>5</v>
      </c>
      <c r="G81" s="85">
        <v>62200</v>
      </c>
      <c r="H81" s="85">
        <v>54488</v>
      </c>
      <c r="I81" s="85">
        <v>40412</v>
      </c>
      <c r="J81" s="85">
        <v>38161</v>
      </c>
      <c r="K81" s="86">
        <v>36631</v>
      </c>
    </row>
    <row r="82" spans="1:11" ht="15" customHeight="1" x14ac:dyDescent="0.25">
      <c r="A82" s="84">
        <v>6</v>
      </c>
      <c r="B82" s="85">
        <v>63326</v>
      </c>
      <c r="C82" s="85">
        <v>65809</v>
      </c>
      <c r="D82" s="85">
        <v>66636</v>
      </c>
      <c r="E82" s="86">
        <v>68293</v>
      </c>
      <c r="F82" s="84">
        <v>6</v>
      </c>
      <c r="G82" s="85">
        <v>64296</v>
      </c>
      <c r="H82" s="85">
        <v>56757</v>
      </c>
      <c r="I82" s="85">
        <v>41778</v>
      </c>
      <c r="J82" s="85">
        <v>39446</v>
      </c>
      <c r="K82" s="86">
        <v>37725</v>
      </c>
    </row>
    <row r="83" spans="1:11" ht="15" customHeight="1" x14ac:dyDescent="0.25">
      <c r="A83" s="84">
        <v>7</v>
      </c>
      <c r="B83" s="85">
        <v>65809</v>
      </c>
      <c r="C83" s="85">
        <v>68293</v>
      </c>
      <c r="D83" s="85">
        <v>69120</v>
      </c>
      <c r="E83" s="86">
        <v>70362</v>
      </c>
      <c r="F83" s="84">
        <v>7</v>
      </c>
      <c r="G83" s="85">
        <v>66402</v>
      </c>
      <c r="H83" s="85">
        <v>58575</v>
      </c>
      <c r="I83" s="85">
        <v>43177</v>
      </c>
      <c r="J83" s="85">
        <v>40739</v>
      </c>
      <c r="K83" s="86">
        <v>38886</v>
      </c>
    </row>
    <row r="84" spans="1:11" ht="15" customHeight="1" x14ac:dyDescent="0.25">
      <c r="A84" s="84">
        <v>8</v>
      </c>
      <c r="B84" s="85">
        <v>68293</v>
      </c>
      <c r="C84" s="85">
        <v>70362</v>
      </c>
      <c r="D84" s="85">
        <v>71603</v>
      </c>
      <c r="E84" s="86">
        <v>72845</v>
      </c>
      <c r="F84" s="84">
        <v>8</v>
      </c>
      <c r="G84" s="85">
        <v>68542</v>
      </c>
      <c r="H84" s="85">
        <v>59934</v>
      </c>
      <c r="I84" s="85">
        <v>44537</v>
      </c>
      <c r="J84" s="85">
        <v>42032</v>
      </c>
      <c r="K84" s="86">
        <v>40020</v>
      </c>
    </row>
    <row r="85" spans="1:11" ht="15" customHeight="1" x14ac:dyDescent="0.25">
      <c r="A85" s="84">
        <v>9</v>
      </c>
      <c r="B85" s="85">
        <v>69948</v>
      </c>
      <c r="C85" s="85">
        <v>72845</v>
      </c>
      <c r="D85" s="85">
        <v>73673</v>
      </c>
      <c r="E85" s="86">
        <v>75328</v>
      </c>
      <c r="F85" s="84">
        <v>9</v>
      </c>
      <c r="G85" s="85">
        <v>70656</v>
      </c>
      <c r="H85" s="85">
        <v>61296</v>
      </c>
      <c r="I85" s="85">
        <v>45908</v>
      </c>
      <c r="J85" s="85">
        <v>43349</v>
      </c>
      <c r="K85" s="86">
        <v>41338</v>
      </c>
    </row>
    <row r="86" spans="1:11" ht="15" customHeight="1" x14ac:dyDescent="0.25">
      <c r="A86" s="84">
        <v>10</v>
      </c>
      <c r="B86" s="85">
        <v>72018</v>
      </c>
      <c r="C86" s="85">
        <v>75328</v>
      </c>
      <c r="D86" s="85">
        <v>76156</v>
      </c>
      <c r="E86" s="86">
        <v>77398</v>
      </c>
      <c r="F86" s="84">
        <v>10</v>
      </c>
      <c r="G86" s="85">
        <v>72271</v>
      </c>
      <c r="H86" s="85">
        <v>62660</v>
      </c>
      <c r="I86" s="85">
        <v>46957</v>
      </c>
      <c r="J86" s="85">
        <v>44336</v>
      </c>
      <c r="K86" s="86">
        <v>42277</v>
      </c>
    </row>
    <row r="87" spans="1:11" ht="15" customHeight="1" x14ac:dyDescent="0.25">
      <c r="A87" s="84">
        <v>11</v>
      </c>
      <c r="B87" s="85">
        <v>73259</v>
      </c>
      <c r="C87" s="85">
        <v>76984</v>
      </c>
      <c r="D87" s="85">
        <v>78640</v>
      </c>
      <c r="E87" s="86">
        <v>79881</v>
      </c>
      <c r="F87" s="84">
        <v>11</v>
      </c>
      <c r="G87" s="89"/>
      <c r="H87" s="85">
        <v>64085</v>
      </c>
      <c r="I87" s="89"/>
      <c r="J87" s="89"/>
      <c r="K87" s="90"/>
    </row>
    <row r="88" spans="1:11" ht="15" customHeight="1" x14ac:dyDescent="0.25">
      <c r="A88" s="84">
        <v>12</v>
      </c>
      <c r="B88" s="85">
        <v>74501</v>
      </c>
      <c r="C88" s="85">
        <v>79053</v>
      </c>
      <c r="D88" s="85">
        <v>80295</v>
      </c>
      <c r="E88" s="86">
        <v>82365</v>
      </c>
      <c r="F88" s="84">
        <v>12</v>
      </c>
      <c r="G88" s="89"/>
      <c r="H88" s="85">
        <v>65383</v>
      </c>
      <c r="I88" s="89"/>
      <c r="J88" s="89"/>
      <c r="K88" s="90"/>
    </row>
    <row r="89" spans="1:11" ht="15" customHeight="1" x14ac:dyDescent="0.25">
      <c r="A89" s="84">
        <v>13</v>
      </c>
      <c r="B89" s="85">
        <v>76156</v>
      </c>
      <c r="C89" s="85">
        <v>80710</v>
      </c>
      <c r="D89" s="85">
        <v>82365</v>
      </c>
      <c r="E89" s="86">
        <v>84434</v>
      </c>
      <c r="F89" s="84">
        <v>13</v>
      </c>
      <c r="G89" s="89"/>
      <c r="H89" s="85">
        <v>66295</v>
      </c>
      <c r="I89" s="89"/>
      <c r="J89" s="89"/>
      <c r="K89" s="90"/>
    </row>
    <row r="90" spans="1:11" ht="15" customHeight="1" x14ac:dyDescent="0.25">
      <c r="A90" s="84">
        <v>14</v>
      </c>
      <c r="B90" s="85">
        <v>77398</v>
      </c>
      <c r="C90" s="85">
        <v>82778</v>
      </c>
      <c r="D90" s="85">
        <v>84020</v>
      </c>
      <c r="E90" s="86">
        <v>86917</v>
      </c>
      <c r="F90" s="84">
        <v>14</v>
      </c>
      <c r="G90" s="89"/>
      <c r="H90" s="85">
        <v>67200</v>
      </c>
      <c r="I90" s="89"/>
      <c r="J90" s="89"/>
      <c r="K90" s="90"/>
    </row>
    <row r="91" spans="1:11" ht="15" customHeight="1" x14ac:dyDescent="0.25">
      <c r="A91" s="84">
        <v>15</v>
      </c>
      <c r="B91" s="85">
        <v>79053</v>
      </c>
      <c r="C91" s="85">
        <v>84434</v>
      </c>
      <c r="D91" s="85">
        <v>86090</v>
      </c>
      <c r="E91" s="86">
        <v>89401</v>
      </c>
      <c r="F91" s="84">
        <v>15</v>
      </c>
      <c r="G91" s="89"/>
      <c r="H91" s="85">
        <v>68107</v>
      </c>
      <c r="I91" s="31"/>
      <c r="J91" s="31"/>
      <c r="K91" s="43"/>
    </row>
    <row r="92" spans="1:11" ht="15" customHeight="1" x14ac:dyDescent="0.25">
      <c r="A92" s="84">
        <v>16</v>
      </c>
      <c r="B92" s="85">
        <v>79053</v>
      </c>
      <c r="C92" s="85">
        <v>84434</v>
      </c>
      <c r="D92" s="85">
        <v>86090</v>
      </c>
      <c r="E92" s="86">
        <v>89401</v>
      </c>
      <c r="F92" s="84">
        <v>16</v>
      </c>
      <c r="G92" s="89"/>
      <c r="H92" s="85">
        <v>68107</v>
      </c>
      <c r="I92" s="31"/>
      <c r="J92" s="31"/>
      <c r="K92" s="43"/>
    </row>
    <row r="93" spans="1:11" ht="15" customHeight="1" x14ac:dyDescent="0.25">
      <c r="A93" s="84">
        <v>17</v>
      </c>
      <c r="B93" s="85">
        <v>79053</v>
      </c>
      <c r="C93" s="85">
        <v>84434</v>
      </c>
      <c r="D93" s="85">
        <v>86090</v>
      </c>
      <c r="E93" s="86">
        <v>89401</v>
      </c>
      <c r="F93" s="84">
        <v>17</v>
      </c>
      <c r="G93" s="89"/>
      <c r="H93" s="85">
        <v>68107</v>
      </c>
      <c r="I93" s="31"/>
      <c r="J93" s="31"/>
      <c r="K93" s="43"/>
    </row>
    <row r="94" spans="1:11" ht="15" customHeight="1" x14ac:dyDescent="0.25">
      <c r="A94" s="84">
        <v>18</v>
      </c>
      <c r="B94" s="85">
        <v>79053</v>
      </c>
      <c r="C94" s="85">
        <v>84434</v>
      </c>
      <c r="D94" s="85">
        <v>86090</v>
      </c>
      <c r="E94" s="86">
        <v>89401</v>
      </c>
      <c r="F94" s="84">
        <v>18</v>
      </c>
      <c r="G94" s="89"/>
      <c r="H94" s="85">
        <v>68107</v>
      </c>
      <c r="I94" s="31"/>
      <c r="J94" s="31"/>
      <c r="K94" s="43"/>
    </row>
    <row r="95" spans="1:11" ht="15" customHeight="1" x14ac:dyDescent="0.25">
      <c r="A95" s="84">
        <v>19</v>
      </c>
      <c r="B95" s="85">
        <v>79053</v>
      </c>
      <c r="C95" s="85">
        <v>84434</v>
      </c>
      <c r="D95" s="85">
        <v>86089</v>
      </c>
      <c r="E95" s="86">
        <v>89401</v>
      </c>
      <c r="F95" s="84">
        <v>19</v>
      </c>
      <c r="G95" s="89"/>
      <c r="H95" s="85">
        <v>68107</v>
      </c>
      <c r="I95" s="31"/>
      <c r="J95" s="31"/>
      <c r="K95" s="43"/>
    </row>
    <row r="96" spans="1:11" ht="15" customHeight="1" x14ac:dyDescent="0.25">
      <c r="A96" s="84">
        <v>20</v>
      </c>
      <c r="B96" s="85">
        <v>80710</v>
      </c>
      <c r="C96" s="85">
        <v>86090</v>
      </c>
      <c r="D96" s="85">
        <v>87745</v>
      </c>
      <c r="E96" s="86">
        <v>91056</v>
      </c>
      <c r="F96" s="87">
        <v>20</v>
      </c>
      <c r="G96" s="91"/>
      <c r="H96" s="88">
        <v>69924</v>
      </c>
      <c r="I96" s="45"/>
      <c r="J96" s="45"/>
      <c r="K96" s="46"/>
    </row>
    <row r="97" spans="1:11" ht="15" customHeight="1" x14ac:dyDescent="0.25">
      <c r="A97" s="41" t="s">
        <v>174</v>
      </c>
      <c r="B97" s="52"/>
      <c r="C97" s="41" t="s">
        <v>196</v>
      </c>
      <c r="D97" s="52"/>
      <c r="E97" s="53"/>
      <c r="F97" s="41" t="s">
        <v>198</v>
      </c>
      <c r="G97" s="53"/>
      <c r="H97" s="41" t="s">
        <v>200</v>
      </c>
      <c r="I97" s="52"/>
      <c r="J97" s="53"/>
      <c r="K97" s="66" t="s">
        <v>49</v>
      </c>
    </row>
    <row r="98" spans="1:11" ht="15" customHeight="1" x14ac:dyDescent="0.25">
      <c r="A98" s="42" t="s">
        <v>82</v>
      </c>
      <c r="B98" s="121" t="s">
        <v>78</v>
      </c>
      <c r="C98" s="261" t="s">
        <v>82</v>
      </c>
      <c r="D98" s="262" t="s">
        <v>194</v>
      </c>
      <c r="E98" s="263" t="s">
        <v>195</v>
      </c>
      <c r="F98" s="84" t="s">
        <v>82</v>
      </c>
      <c r="G98" s="90" t="s">
        <v>197</v>
      </c>
      <c r="H98" s="84" t="s">
        <v>82</v>
      </c>
      <c r="I98" s="89" t="s">
        <v>137</v>
      </c>
      <c r="J98" s="90" t="s">
        <v>138</v>
      </c>
      <c r="K98" s="67" t="s">
        <v>78</v>
      </c>
    </row>
    <row r="99" spans="1:11" ht="15" customHeight="1" x14ac:dyDescent="0.25">
      <c r="A99" s="84">
        <v>1</v>
      </c>
      <c r="B99" s="85">
        <v>23928</v>
      </c>
      <c r="C99" s="75">
        <v>1</v>
      </c>
      <c r="D99" s="299">
        <v>16218</v>
      </c>
      <c r="E99" s="299">
        <v>17998</v>
      </c>
      <c r="F99" s="84">
        <v>1</v>
      </c>
      <c r="G99" s="299">
        <v>21129</v>
      </c>
      <c r="H99" s="84">
        <v>1</v>
      </c>
      <c r="I99" s="85">
        <v>21302</v>
      </c>
      <c r="J99" s="86">
        <v>23644</v>
      </c>
      <c r="K99" s="265">
        <v>30031</v>
      </c>
    </row>
    <row r="100" spans="1:11" ht="15" customHeight="1" x14ac:dyDescent="0.25">
      <c r="A100" s="84">
        <v>2</v>
      </c>
      <c r="B100" s="85">
        <v>24700</v>
      </c>
      <c r="C100" s="75">
        <v>2</v>
      </c>
      <c r="D100" s="299">
        <v>16706</v>
      </c>
      <c r="E100" s="299">
        <v>18540</v>
      </c>
      <c r="F100" s="84">
        <v>2</v>
      </c>
      <c r="G100" s="299">
        <v>21764</v>
      </c>
      <c r="H100" s="84">
        <v>2</v>
      </c>
      <c r="I100" s="85">
        <v>21942</v>
      </c>
      <c r="J100" s="86">
        <v>24353</v>
      </c>
      <c r="K100" s="265">
        <v>30782</v>
      </c>
    </row>
    <row r="101" spans="1:11" ht="15" customHeight="1" x14ac:dyDescent="0.25">
      <c r="A101" s="84">
        <v>3</v>
      </c>
      <c r="B101" s="85">
        <v>25397</v>
      </c>
      <c r="C101" s="75">
        <v>3</v>
      </c>
      <c r="D101" s="299">
        <v>17213</v>
      </c>
      <c r="E101" s="299">
        <v>19098</v>
      </c>
      <c r="F101" s="84">
        <v>3</v>
      </c>
      <c r="G101" s="299">
        <v>22416</v>
      </c>
      <c r="H101" s="84">
        <v>3</v>
      </c>
      <c r="I101" s="85">
        <v>22602</v>
      </c>
      <c r="J101" s="86">
        <v>25085</v>
      </c>
      <c r="K101" s="265">
        <v>31532</v>
      </c>
    </row>
    <row r="102" spans="1:11" ht="15" customHeight="1" x14ac:dyDescent="0.25">
      <c r="A102" s="84">
        <v>4</v>
      </c>
      <c r="B102" s="85">
        <v>26118</v>
      </c>
      <c r="C102" s="75">
        <v>4</v>
      </c>
      <c r="D102" s="299">
        <v>17725</v>
      </c>
      <c r="E102" s="299">
        <v>19672</v>
      </c>
      <c r="F102" s="84">
        <v>4</v>
      </c>
      <c r="G102" s="299">
        <v>23090</v>
      </c>
      <c r="H102" s="84">
        <v>4</v>
      </c>
      <c r="I102" s="85">
        <v>23285</v>
      </c>
      <c r="J102" s="86">
        <v>25838</v>
      </c>
      <c r="K102" s="265">
        <v>32285</v>
      </c>
    </row>
    <row r="103" spans="1:11" ht="15" customHeight="1" x14ac:dyDescent="0.25">
      <c r="A103" s="84">
        <v>5</v>
      </c>
      <c r="B103" s="85">
        <v>26856</v>
      </c>
      <c r="C103" s="75">
        <v>5</v>
      </c>
      <c r="D103" s="299">
        <v>18256</v>
      </c>
      <c r="E103" s="299">
        <v>20260</v>
      </c>
      <c r="F103" s="84">
        <v>5</v>
      </c>
      <c r="G103" s="299">
        <v>23783</v>
      </c>
      <c r="H103" s="84">
        <v>5</v>
      </c>
      <c r="I103" s="85">
        <v>23979</v>
      </c>
      <c r="J103" s="86">
        <v>26613</v>
      </c>
      <c r="K103" s="265">
        <v>33033</v>
      </c>
    </row>
    <row r="104" spans="1:11" ht="15" customHeight="1" x14ac:dyDescent="0.25">
      <c r="A104" s="84">
        <v>6</v>
      </c>
      <c r="B104" s="85">
        <v>27615</v>
      </c>
      <c r="C104" s="75">
        <v>6</v>
      </c>
      <c r="D104" s="299">
        <v>18803</v>
      </c>
      <c r="E104" s="299">
        <v>20869</v>
      </c>
      <c r="F104" s="84">
        <v>6</v>
      </c>
      <c r="G104" s="299">
        <v>24498</v>
      </c>
      <c r="H104" s="84">
        <v>6</v>
      </c>
      <c r="I104" s="85">
        <v>24698</v>
      </c>
      <c r="J104" s="86">
        <v>27417</v>
      </c>
      <c r="K104" s="265">
        <v>33785</v>
      </c>
    </row>
    <row r="105" spans="1:11" ht="15" customHeight="1" x14ac:dyDescent="0.25">
      <c r="A105" s="84">
        <v>7</v>
      </c>
      <c r="B105" s="85">
        <v>28397</v>
      </c>
      <c r="C105" s="75">
        <v>7</v>
      </c>
      <c r="D105" s="299">
        <v>19366</v>
      </c>
      <c r="E105" s="299">
        <v>21499</v>
      </c>
      <c r="F105" s="84">
        <v>7</v>
      </c>
      <c r="G105" s="299">
        <v>25236</v>
      </c>
      <c r="H105" s="84">
        <v>7</v>
      </c>
      <c r="I105" s="85">
        <v>25442</v>
      </c>
      <c r="J105" s="86">
        <v>28239</v>
      </c>
      <c r="K105" s="265">
        <v>34535</v>
      </c>
    </row>
    <row r="106" spans="1:11" ht="15" customHeight="1" x14ac:dyDescent="0.25">
      <c r="A106" s="84">
        <v>8</v>
      </c>
      <c r="B106" s="85">
        <v>29198</v>
      </c>
      <c r="C106" s="75">
        <v>8</v>
      </c>
      <c r="D106" s="299">
        <v>19948</v>
      </c>
      <c r="E106" s="299">
        <v>22139</v>
      </c>
      <c r="F106" s="84">
        <v>8</v>
      </c>
      <c r="G106" s="299">
        <v>25987</v>
      </c>
      <c r="H106" s="84">
        <v>8</v>
      </c>
      <c r="I106" s="85">
        <v>26205</v>
      </c>
      <c r="J106" s="86">
        <v>29078</v>
      </c>
      <c r="K106" s="265">
        <v>35285</v>
      </c>
    </row>
    <row r="107" spans="1:11" ht="15" customHeight="1" x14ac:dyDescent="0.25">
      <c r="A107" s="84">
        <v>9</v>
      </c>
      <c r="B107" s="85">
        <v>30024</v>
      </c>
      <c r="C107" s="75">
        <v>9</v>
      </c>
      <c r="D107" s="299">
        <v>20547</v>
      </c>
      <c r="E107" s="299">
        <v>22806</v>
      </c>
      <c r="F107" s="84">
        <v>9</v>
      </c>
      <c r="G107" s="299">
        <v>26769</v>
      </c>
      <c r="H107" s="84">
        <v>9</v>
      </c>
      <c r="I107" s="85">
        <v>26989</v>
      </c>
      <c r="J107" s="86">
        <v>29957</v>
      </c>
      <c r="K107" s="265">
        <v>36035</v>
      </c>
    </row>
    <row r="108" spans="1:11" ht="15" customHeight="1" x14ac:dyDescent="0.25">
      <c r="A108" s="84">
        <v>10</v>
      </c>
      <c r="B108" s="85">
        <v>30874</v>
      </c>
      <c r="C108" s="75">
        <v>10</v>
      </c>
      <c r="D108" s="299">
        <v>21158</v>
      </c>
      <c r="E108" s="299">
        <v>23489</v>
      </c>
      <c r="F108" s="84">
        <v>10</v>
      </c>
      <c r="G108" s="299">
        <v>28255</v>
      </c>
      <c r="H108" s="84">
        <v>10</v>
      </c>
      <c r="I108" s="85">
        <v>27794</v>
      </c>
      <c r="J108" s="86">
        <v>30854</v>
      </c>
      <c r="K108" s="265">
        <v>36787</v>
      </c>
    </row>
    <row r="109" spans="1:11" ht="15" customHeight="1" x14ac:dyDescent="0.25">
      <c r="A109" s="84">
        <v>11</v>
      </c>
      <c r="B109" s="85">
        <v>32022</v>
      </c>
      <c r="C109" s="75">
        <v>11</v>
      </c>
      <c r="D109" s="299">
        <v>21691</v>
      </c>
      <c r="E109" s="299">
        <v>24073</v>
      </c>
      <c r="F109" s="84">
        <v>11</v>
      </c>
      <c r="G109" s="299">
        <v>28475</v>
      </c>
      <c r="H109" s="84">
        <v>11</v>
      </c>
      <c r="I109" s="85">
        <v>28491</v>
      </c>
      <c r="J109" s="86">
        <v>31620</v>
      </c>
      <c r="K109" s="265">
        <v>37538</v>
      </c>
    </row>
    <row r="110" spans="1:11" ht="15" customHeight="1" x14ac:dyDescent="0.25">
      <c r="A110" s="84">
        <v>12</v>
      </c>
      <c r="B110" s="85">
        <v>33214</v>
      </c>
      <c r="C110" s="75">
        <v>12</v>
      </c>
      <c r="D110" s="299">
        <v>22229</v>
      </c>
      <c r="E110" s="299">
        <v>24677</v>
      </c>
      <c r="F110" s="84">
        <v>12</v>
      </c>
      <c r="G110" s="299">
        <v>28964</v>
      </c>
      <c r="H110" s="84">
        <v>12</v>
      </c>
      <c r="I110" s="85">
        <v>29198</v>
      </c>
      <c r="J110" s="86">
        <v>32417</v>
      </c>
      <c r="K110" s="67"/>
    </row>
    <row r="111" spans="1:11" ht="15" customHeight="1" x14ac:dyDescent="0.25">
      <c r="A111" s="84">
        <v>13</v>
      </c>
      <c r="B111" s="85">
        <v>34445</v>
      </c>
      <c r="C111" s="75">
        <v>13</v>
      </c>
      <c r="D111" s="299">
        <v>23011</v>
      </c>
      <c r="E111" s="299">
        <v>25545</v>
      </c>
      <c r="F111" s="84">
        <v>13</v>
      </c>
      <c r="G111" s="299">
        <v>29986</v>
      </c>
      <c r="H111" s="84">
        <v>13</v>
      </c>
      <c r="I111" s="85">
        <v>30229</v>
      </c>
      <c r="J111" s="86">
        <v>33556</v>
      </c>
      <c r="K111" s="67"/>
    </row>
    <row r="112" spans="1:11" ht="15" customHeight="1" x14ac:dyDescent="0.25">
      <c r="A112" s="84">
        <v>14</v>
      </c>
      <c r="B112" s="85">
        <v>35723</v>
      </c>
      <c r="C112" s="58"/>
      <c r="D112" s="31"/>
      <c r="E112" s="43"/>
      <c r="F112" s="58"/>
      <c r="G112" s="43"/>
      <c r="H112" s="58"/>
      <c r="I112" s="31"/>
      <c r="J112" s="43"/>
      <c r="K112" s="67"/>
    </row>
    <row r="113" spans="1:11" ht="15" customHeight="1" x14ac:dyDescent="0.25">
      <c r="A113" s="84">
        <v>15</v>
      </c>
      <c r="B113" s="85">
        <v>37050</v>
      </c>
      <c r="C113" s="54"/>
      <c r="D113" s="45"/>
      <c r="E113" s="46"/>
      <c r="F113" s="54"/>
      <c r="G113" s="46"/>
      <c r="H113" s="54"/>
      <c r="I113" s="45"/>
      <c r="J113" s="46"/>
      <c r="K113" s="266"/>
    </row>
    <row r="114" spans="1:11" ht="15" customHeight="1" x14ac:dyDescent="0.25">
      <c r="A114" s="41" t="s">
        <v>187</v>
      </c>
      <c r="B114" s="52"/>
      <c r="C114" s="52"/>
      <c r="D114" s="52"/>
      <c r="E114" s="52"/>
      <c r="F114" s="52"/>
      <c r="G114" s="52"/>
      <c r="H114" s="52"/>
      <c r="I114" s="52"/>
      <c r="J114" s="53"/>
    </row>
    <row r="115" spans="1:11" ht="15" customHeight="1" x14ac:dyDescent="0.25">
      <c r="A115" s="261" t="s">
        <v>82</v>
      </c>
      <c r="B115" s="262" t="s">
        <v>178</v>
      </c>
      <c r="C115" s="262" t="s">
        <v>179</v>
      </c>
      <c r="D115" s="262" t="s">
        <v>180</v>
      </c>
      <c r="E115" s="262" t="s">
        <v>181</v>
      </c>
      <c r="F115" s="262" t="s">
        <v>182</v>
      </c>
      <c r="G115" s="262" t="s">
        <v>183</v>
      </c>
      <c r="H115" s="262" t="s">
        <v>184</v>
      </c>
      <c r="I115" s="262" t="s">
        <v>185</v>
      </c>
      <c r="J115" s="263" t="s">
        <v>186</v>
      </c>
    </row>
    <row r="116" spans="1:11" ht="15" customHeight="1" x14ac:dyDescent="0.25">
      <c r="A116" s="75">
        <v>1</v>
      </c>
      <c r="B116" s="76">
        <v>44403</v>
      </c>
      <c r="C116" s="76">
        <v>44403</v>
      </c>
      <c r="D116" s="76">
        <v>44403</v>
      </c>
      <c r="E116" s="76">
        <v>48843</v>
      </c>
      <c r="F116" s="76">
        <v>48843</v>
      </c>
      <c r="G116" s="76">
        <v>48843</v>
      </c>
      <c r="H116" s="76">
        <v>48843</v>
      </c>
      <c r="I116" s="76">
        <v>48843</v>
      </c>
      <c r="J116" s="77">
        <v>48843</v>
      </c>
    </row>
    <row r="117" spans="1:11" ht="15" customHeight="1" x14ac:dyDescent="0.25">
      <c r="A117" s="75">
        <v>2</v>
      </c>
      <c r="B117" s="76">
        <v>46623</v>
      </c>
      <c r="C117" s="76">
        <v>47511</v>
      </c>
      <c r="D117" s="76">
        <v>48843</v>
      </c>
      <c r="E117" s="76">
        <v>51063</v>
      </c>
      <c r="F117" s="76">
        <v>51507</v>
      </c>
      <c r="G117" s="76">
        <v>51507</v>
      </c>
      <c r="H117" s="76">
        <v>51507</v>
      </c>
      <c r="I117" s="76">
        <v>51507</v>
      </c>
      <c r="J117" s="77">
        <v>51507</v>
      </c>
    </row>
    <row r="118" spans="1:11" ht="15" customHeight="1" x14ac:dyDescent="0.25">
      <c r="A118" s="75">
        <v>3</v>
      </c>
      <c r="B118" s="76">
        <v>48843</v>
      </c>
      <c r="C118" s="76">
        <v>49731</v>
      </c>
      <c r="D118" s="76">
        <v>51063</v>
      </c>
      <c r="E118" s="76">
        <v>53284</v>
      </c>
      <c r="F118" s="76">
        <v>53727</v>
      </c>
      <c r="G118" s="76">
        <v>54171</v>
      </c>
      <c r="H118" s="76">
        <v>54171</v>
      </c>
      <c r="I118" s="76">
        <v>54171</v>
      </c>
      <c r="J118" s="77">
        <v>54171</v>
      </c>
    </row>
    <row r="119" spans="1:11" ht="15" customHeight="1" x14ac:dyDescent="0.25">
      <c r="A119" s="75">
        <v>4</v>
      </c>
      <c r="B119" s="76">
        <v>51063</v>
      </c>
      <c r="C119" s="76">
        <v>51951</v>
      </c>
      <c r="D119" s="76">
        <v>53284</v>
      </c>
      <c r="E119" s="76">
        <v>55504</v>
      </c>
      <c r="F119" s="76">
        <v>55948</v>
      </c>
      <c r="G119" s="76">
        <v>56391</v>
      </c>
      <c r="H119" s="76">
        <v>57724</v>
      </c>
      <c r="I119" s="76">
        <v>58612</v>
      </c>
      <c r="J119" s="77">
        <v>58612</v>
      </c>
    </row>
    <row r="120" spans="1:11" ht="15" customHeight="1" x14ac:dyDescent="0.25">
      <c r="A120" s="75">
        <v>5</v>
      </c>
      <c r="B120" s="76">
        <v>53284</v>
      </c>
      <c r="C120" s="76">
        <v>54171</v>
      </c>
      <c r="D120" s="76">
        <v>55504</v>
      </c>
      <c r="E120" s="76">
        <v>57724</v>
      </c>
      <c r="F120" s="76">
        <v>58168</v>
      </c>
      <c r="G120" s="76">
        <v>58612</v>
      </c>
      <c r="H120" s="76">
        <v>59944</v>
      </c>
      <c r="I120" s="76">
        <v>60832</v>
      </c>
      <c r="J120" s="77">
        <v>62164</v>
      </c>
    </row>
    <row r="121" spans="1:11" ht="15" customHeight="1" x14ac:dyDescent="0.25">
      <c r="A121" s="75">
        <v>6</v>
      </c>
      <c r="B121" s="76">
        <v>55504</v>
      </c>
      <c r="C121" s="76">
        <v>56391</v>
      </c>
      <c r="D121" s="76">
        <v>57724</v>
      </c>
      <c r="E121" s="76">
        <v>59944</v>
      </c>
      <c r="F121" s="76">
        <v>60388</v>
      </c>
      <c r="G121" s="76">
        <v>60832</v>
      </c>
      <c r="H121" s="76">
        <v>62164</v>
      </c>
      <c r="I121" s="76">
        <v>63052</v>
      </c>
      <c r="J121" s="77">
        <v>64384</v>
      </c>
    </row>
    <row r="122" spans="1:11" ht="15" customHeight="1" x14ac:dyDescent="0.25">
      <c r="A122" s="75">
        <v>7</v>
      </c>
      <c r="B122" s="76">
        <v>57280</v>
      </c>
      <c r="C122" s="76">
        <v>58168</v>
      </c>
      <c r="D122" s="76">
        <v>59500</v>
      </c>
      <c r="E122" s="76">
        <v>62164</v>
      </c>
      <c r="F122" s="76">
        <v>62608</v>
      </c>
      <c r="G122" s="76">
        <v>63052</v>
      </c>
      <c r="H122" s="76">
        <v>64384</v>
      </c>
      <c r="I122" s="76">
        <v>65272</v>
      </c>
      <c r="J122" s="77">
        <v>66605</v>
      </c>
    </row>
    <row r="123" spans="1:11" ht="15" customHeight="1" x14ac:dyDescent="0.25">
      <c r="A123" s="75">
        <v>8</v>
      </c>
      <c r="B123" s="76">
        <v>58612</v>
      </c>
      <c r="C123" s="76">
        <v>59944</v>
      </c>
      <c r="D123" s="76">
        <v>61277</v>
      </c>
      <c r="E123" s="76">
        <v>64384</v>
      </c>
      <c r="F123" s="76">
        <v>64828</v>
      </c>
      <c r="G123" s="76">
        <v>65272</v>
      </c>
      <c r="H123" s="76">
        <v>66605</v>
      </c>
      <c r="I123" s="76">
        <v>67492</v>
      </c>
      <c r="J123" s="77">
        <v>68825</v>
      </c>
    </row>
    <row r="124" spans="1:11" ht="15" customHeight="1" x14ac:dyDescent="0.25">
      <c r="A124" s="75">
        <v>9</v>
      </c>
      <c r="B124" s="76">
        <v>59944</v>
      </c>
      <c r="C124" s="76">
        <v>61277</v>
      </c>
      <c r="D124" s="76">
        <v>63052</v>
      </c>
      <c r="E124" s="76">
        <v>66161</v>
      </c>
      <c r="F124" s="76">
        <v>66605</v>
      </c>
      <c r="G124" s="76">
        <v>67492</v>
      </c>
      <c r="H124" s="76">
        <v>68825</v>
      </c>
      <c r="I124" s="76">
        <v>69712</v>
      </c>
      <c r="J124" s="77">
        <v>71045</v>
      </c>
    </row>
    <row r="125" spans="1:11" ht="15" customHeight="1" x14ac:dyDescent="0.25">
      <c r="A125" s="75">
        <v>10</v>
      </c>
      <c r="B125" s="76">
        <v>61277</v>
      </c>
      <c r="C125" s="76">
        <v>62608</v>
      </c>
      <c r="D125" s="76">
        <v>64384</v>
      </c>
      <c r="E125" s="76">
        <v>67937</v>
      </c>
      <c r="F125" s="76">
        <v>68381</v>
      </c>
      <c r="G125" s="76">
        <v>69268</v>
      </c>
      <c r="H125" s="76">
        <v>71045</v>
      </c>
      <c r="I125" s="76">
        <v>71932</v>
      </c>
      <c r="J125" s="77">
        <v>73265</v>
      </c>
    </row>
    <row r="126" spans="1:11" ht="15" customHeight="1" x14ac:dyDescent="0.25">
      <c r="A126" s="75">
        <v>11</v>
      </c>
      <c r="B126" s="76">
        <v>62608</v>
      </c>
      <c r="C126" s="76">
        <v>63941</v>
      </c>
      <c r="D126" s="76">
        <v>65717</v>
      </c>
      <c r="E126" s="76">
        <v>69268</v>
      </c>
      <c r="F126" s="76">
        <v>70157</v>
      </c>
      <c r="G126" s="76">
        <v>71045</v>
      </c>
      <c r="H126" s="76">
        <v>72821</v>
      </c>
      <c r="I126" s="76">
        <v>74153</v>
      </c>
      <c r="J126" s="77">
        <v>75485</v>
      </c>
    </row>
    <row r="127" spans="1:11" ht="15" customHeight="1" x14ac:dyDescent="0.25">
      <c r="A127" s="75">
        <v>12</v>
      </c>
      <c r="B127" s="76">
        <v>63941</v>
      </c>
      <c r="C127" s="76">
        <v>65272</v>
      </c>
      <c r="D127" s="76">
        <v>67048</v>
      </c>
      <c r="E127" s="76">
        <v>70601</v>
      </c>
      <c r="F127" s="76">
        <v>71489</v>
      </c>
      <c r="G127" s="76">
        <v>72821</v>
      </c>
      <c r="H127" s="76">
        <v>74597</v>
      </c>
      <c r="I127" s="76">
        <v>75929</v>
      </c>
      <c r="J127" s="77">
        <v>77705</v>
      </c>
    </row>
    <row r="128" spans="1:11" ht="15" customHeight="1" x14ac:dyDescent="0.25">
      <c r="A128" s="75">
        <v>13</v>
      </c>
      <c r="B128" s="76">
        <v>64828</v>
      </c>
      <c r="C128" s="76">
        <v>66161</v>
      </c>
      <c r="D128" s="76">
        <v>68381</v>
      </c>
      <c r="E128" s="76">
        <v>71932</v>
      </c>
      <c r="F128" s="76">
        <v>72821</v>
      </c>
      <c r="G128" s="76">
        <v>74597</v>
      </c>
      <c r="H128" s="76">
        <v>76373</v>
      </c>
      <c r="I128" s="76">
        <v>77705</v>
      </c>
      <c r="J128" s="77">
        <v>79925</v>
      </c>
    </row>
    <row r="129" spans="1:11" ht="15" customHeight="1" x14ac:dyDescent="0.25">
      <c r="A129" s="75">
        <v>14</v>
      </c>
      <c r="B129" s="76">
        <v>65717</v>
      </c>
      <c r="C129" s="76">
        <v>67048</v>
      </c>
      <c r="D129" s="76">
        <v>69712</v>
      </c>
      <c r="E129" s="76">
        <v>73265</v>
      </c>
      <c r="F129" s="76">
        <v>74153</v>
      </c>
      <c r="G129" s="76">
        <v>75929</v>
      </c>
      <c r="H129" s="76">
        <v>78149</v>
      </c>
      <c r="I129" s="76">
        <v>79482</v>
      </c>
      <c r="J129" s="77">
        <v>82146</v>
      </c>
    </row>
    <row r="130" spans="1:11" ht="15" customHeight="1" x14ac:dyDescent="0.25">
      <c r="A130" s="75">
        <v>15</v>
      </c>
      <c r="B130" s="76">
        <v>66605</v>
      </c>
      <c r="C130" s="76">
        <v>67937</v>
      </c>
      <c r="D130" s="76">
        <v>70601</v>
      </c>
      <c r="E130" s="76">
        <v>74597</v>
      </c>
      <c r="F130" s="76">
        <v>75485</v>
      </c>
      <c r="G130" s="76">
        <v>77261</v>
      </c>
      <c r="H130" s="76">
        <v>79925</v>
      </c>
      <c r="I130" s="76">
        <v>81258</v>
      </c>
      <c r="J130" s="77">
        <v>84366</v>
      </c>
    </row>
    <row r="131" spans="1:11" ht="15" customHeight="1" x14ac:dyDescent="0.25">
      <c r="A131" s="75">
        <v>16</v>
      </c>
      <c r="B131" s="76">
        <v>66605</v>
      </c>
      <c r="C131" s="76">
        <v>67937</v>
      </c>
      <c r="D131" s="76">
        <v>70601</v>
      </c>
      <c r="E131" s="76">
        <v>74597</v>
      </c>
      <c r="F131" s="76">
        <v>75485</v>
      </c>
      <c r="G131" s="76">
        <v>77261</v>
      </c>
      <c r="H131" s="76">
        <v>79925</v>
      </c>
      <c r="I131" s="76">
        <v>81258</v>
      </c>
      <c r="J131" s="77">
        <v>84366</v>
      </c>
    </row>
    <row r="132" spans="1:11" ht="15" customHeight="1" x14ac:dyDescent="0.25">
      <c r="A132" s="75">
        <v>17</v>
      </c>
      <c r="B132" s="76">
        <v>66605</v>
      </c>
      <c r="C132" s="76">
        <v>67937</v>
      </c>
      <c r="D132" s="76">
        <v>70601</v>
      </c>
      <c r="E132" s="76">
        <v>74597</v>
      </c>
      <c r="F132" s="76">
        <v>75485</v>
      </c>
      <c r="G132" s="76">
        <v>77261</v>
      </c>
      <c r="H132" s="76">
        <v>79925</v>
      </c>
      <c r="I132" s="76">
        <v>81258</v>
      </c>
      <c r="J132" s="77">
        <v>84366</v>
      </c>
    </row>
    <row r="133" spans="1:11" ht="15" customHeight="1" x14ac:dyDescent="0.25">
      <c r="A133" s="75">
        <v>18</v>
      </c>
      <c r="B133" s="76">
        <v>66605</v>
      </c>
      <c r="C133" s="76">
        <v>67937</v>
      </c>
      <c r="D133" s="76">
        <v>70601</v>
      </c>
      <c r="E133" s="76">
        <v>74597</v>
      </c>
      <c r="F133" s="76">
        <v>75485</v>
      </c>
      <c r="G133" s="76">
        <v>77261</v>
      </c>
      <c r="H133" s="76">
        <v>79925</v>
      </c>
      <c r="I133" s="76">
        <v>81258</v>
      </c>
      <c r="J133" s="77">
        <v>84366</v>
      </c>
    </row>
    <row r="134" spans="1:11" ht="15" customHeight="1" x14ac:dyDescent="0.25">
      <c r="A134" s="75">
        <v>19</v>
      </c>
      <c r="B134" s="76">
        <v>66605</v>
      </c>
      <c r="C134" s="76">
        <v>67937</v>
      </c>
      <c r="D134" s="76">
        <v>70601</v>
      </c>
      <c r="E134" s="76">
        <v>74597</v>
      </c>
      <c r="F134" s="76">
        <v>75485</v>
      </c>
      <c r="G134" s="76">
        <v>77261</v>
      </c>
      <c r="H134" s="76">
        <v>79925</v>
      </c>
      <c r="I134" s="76">
        <v>81258</v>
      </c>
      <c r="J134" s="77">
        <v>84366</v>
      </c>
    </row>
    <row r="135" spans="1:11" ht="15" customHeight="1" x14ac:dyDescent="0.25">
      <c r="A135" s="75">
        <v>20</v>
      </c>
      <c r="B135" s="76">
        <v>68381</v>
      </c>
      <c r="C135" s="76">
        <v>69712</v>
      </c>
      <c r="D135" s="76">
        <v>72377</v>
      </c>
      <c r="E135" s="76">
        <v>76373</v>
      </c>
      <c r="F135" s="76">
        <v>77261</v>
      </c>
      <c r="G135" s="76">
        <v>79038</v>
      </c>
      <c r="H135" s="76">
        <v>81702</v>
      </c>
      <c r="I135" s="76">
        <v>83033</v>
      </c>
      <c r="J135" s="77">
        <v>86142</v>
      </c>
    </row>
    <row r="136" spans="1:11" ht="15" customHeight="1" x14ac:dyDescent="0.25">
      <c r="A136" s="41" t="s">
        <v>193</v>
      </c>
      <c r="B136" s="52"/>
      <c r="C136" s="52"/>
      <c r="D136" s="52"/>
      <c r="E136" s="52"/>
      <c r="F136" s="53"/>
      <c r="G136" s="52" t="s">
        <v>205</v>
      </c>
      <c r="H136" s="52"/>
      <c r="I136" s="52"/>
      <c r="J136" s="52"/>
      <c r="K136" s="53"/>
    </row>
    <row r="137" spans="1:11" ht="15" customHeight="1" x14ac:dyDescent="0.25">
      <c r="A137" s="84" t="s">
        <v>82</v>
      </c>
      <c r="B137" s="89" t="s">
        <v>188</v>
      </c>
      <c r="C137" s="89" t="s">
        <v>189</v>
      </c>
      <c r="D137" s="89" t="s">
        <v>190</v>
      </c>
      <c r="E137" s="89" t="s">
        <v>191</v>
      </c>
      <c r="F137" s="90" t="s">
        <v>192</v>
      </c>
      <c r="G137" s="262" t="s">
        <v>82</v>
      </c>
      <c r="H137" s="262" t="s">
        <v>201</v>
      </c>
      <c r="I137" s="262" t="s">
        <v>202</v>
      </c>
      <c r="J137" s="262" t="s">
        <v>203</v>
      </c>
      <c r="K137" s="263" t="s">
        <v>204</v>
      </c>
    </row>
    <row r="138" spans="1:11" ht="15" customHeight="1" x14ac:dyDescent="0.25">
      <c r="A138" s="84">
        <v>1</v>
      </c>
      <c r="B138" s="85">
        <v>28374</v>
      </c>
      <c r="C138" s="85">
        <v>30668</v>
      </c>
      <c r="D138" s="85">
        <v>32957</v>
      </c>
      <c r="E138" s="85">
        <v>35245</v>
      </c>
      <c r="F138" s="86">
        <v>48436</v>
      </c>
      <c r="G138" s="264">
        <v>1</v>
      </c>
      <c r="H138" s="78">
        <v>19.010000000000002</v>
      </c>
      <c r="I138" s="78">
        <v>15.66</v>
      </c>
      <c r="J138" s="78">
        <v>13.14</v>
      </c>
      <c r="K138" s="79">
        <v>17.27</v>
      </c>
    </row>
    <row r="139" spans="1:11" ht="15" customHeight="1" x14ac:dyDescent="0.25">
      <c r="A139" s="84">
        <v>2</v>
      </c>
      <c r="B139" s="85">
        <v>29014</v>
      </c>
      <c r="C139" s="85">
        <v>31307</v>
      </c>
      <c r="D139" s="85">
        <v>33597</v>
      </c>
      <c r="E139" s="85">
        <v>35888</v>
      </c>
      <c r="F139" s="86">
        <v>48436</v>
      </c>
      <c r="G139" s="264">
        <v>2</v>
      </c>
      <c r="H139" s="78">
        <v>19.7</v>
      </c>
      <c r="I139" s="78">
        <v>16.14</v>
      </c>
      <c r="J139" s="78">
        <v>13.57</v>
      </c>
      <c r="K139" s="79">
        <v>17.809999999999999</v>
      </c>
    </row>
    <row r="140" spans="1:11" ht="15" customHeight="1" x14ac:dyDescent="0.25">
      <c r="A140" s="84">
        <v>3</v>
      </c>
      <c r="B140" s="85">
        <v>29657</v>
      </c>
      <c r="C140" s="85">
        <v>31945</v>
      </c>
      <c r="D140" s="85">
        <v>34235</v>
      </c>
      <c r="E140" s="85">
        <v>36532</v>
      </c>
      <c r="F140" s="86">
        <v>48436</v>
      </c>
      <c r="G140" s="264">
        <v>3</v>
      </c>
      <c r="H140" s="78">
        <v>20.36</v>
      </c>
      <c r="I140" s="78">
        <v>16.68</v>
      </c>
      <c r="J140" s="78">
        <v>13.99</v>
      </c>
      <c r="K140" s="79">
        <v>18.399999999999999</v>
      </c>
    </row>
    <row r="141" spans="1:11" ht="15" customHeight="1" x14ac:dyDescent="0.25">
      <c r="A141" s="84">
        <v>4</v>
      </c>
      <c r="B141" s="85">
        <v>30295</v>
      </c>
      <c r="C141" s="85">
        <v>32589</v>
      </c>
      <c r="D141" s="85">
        <v>34877</v>
      </c>
      <c r="E141" s="85">
        <v>37168</v>
      </c>
      <c r="F141" s="86">
        <v>48436</v>
      </c>
      <c r="G141" s="264">
        <v>4</v>
      </c>
      <c r="H141" s="78">
        <v>21.04</v>
      </c>
      <c r="I141" s="78">
        <v>17.21</v>
      </c>
      <c r="J141" s="78">
        <v>14.44</v>
      </c>
      <c r="K141" s="79">
        <v>19</v>
      </c>
    </row>
    <row r="142" spans="1:11" ht="15" customHeight="1" x14ac:dyDescent="0.25">
      <c r="A142" s="84">
        <v>5</v>
      </c>
      <c r="B142" s="85">
        <v>30936</v>
      </c>
      <c r="C142" s="85">
        <v>33227</v>
      </c>
      <c r="D142" s="85">
        <v>35516</v>
      </c>
      <c r="E142" s="85">
        <v>37807</v>
      </c>
      <c r="F142" s="86">
        <v>48436</v>
      </c>
      <c r="G142" s="264">
        <v>5</v>
      </c>
      <c r="H142" s="78">
        <v>21.72</v>
      </c>
      <c r="I142" s="78">
        <v>17.760000000000002</v>
      </c>
      <c r="J142" s="78">
        <v>14.91</v>
      </c>
      <c r="K142" s="79">
        <v>19.61</v>
      </c>
    </row>
    <row r="143" spans="1:11" ht="15" customHeight="1" x14ac:dyDescent="0.25">
      <c r="A143" s="84">
        <v>6</v>
      </c>
      <c r="B143" s="85">
        <v>31577</v>
      </c>
      <c r="C143" s="85">
        <v>33948</v>
      </c>
      <c r="D143" s="85">
        <v>36159</v>
      </c>
      <c r="E143" s="85">
        <v>38450</v>
      </c>
      <c r="F143" s="86">
        <v>48436</v>
      </c>
      <c r="G143" s="264">
        <v>6</v>
      </c>
      <c r="H143" s="78">
        <v>22.41</v>
      </c>
      <c r="I143" s="78">
        <v>18.350000000000001</v>
      </c>
      <c r="J143" s="78">
        <v>15.4</v>
      </c>
      <c r="K143" s="79">
        <v>20.23</v>
      </c>
    </row>
    <row r="144" spans="1:11" ht="15" customHeight="1" x14ac:dyDescent="0.25">
      <c r="A144" s="84">
        <v>7</v>
      </c>
      <c r="B144" s="85">
        <v>32218</v>
      </c>
      <c r="C144" s="85">
        <v>34510</v>
      </c>
      <c r="D144" s="85">
        <v>36800</v>
      </c>
      <c r="E144" s="85">
        <v>39087</v>
      </c>
      <c r="F144" s="86">
        <v>48436</v>
      </c>
      <c r="G144" s="264">
        <v>7</v>
      </c>
      <c r="H144" s="78">
        <v>23.08</v>
      </c>
      <c r="I144" s="78">
        <v>18.95</v>
      </c>
      <c r="J144" s="78">
        <v>15.89</v>
      </c>
      <c r="K144" s="79">
        <v>20.9</v>
      </c>
    </row>
    <row r="145" spans="1:13" ht="15" customHeight="1" x14ac:dyDescent="0.25">
      <c r="A145" s="84">
        <v>8</v>
      </c>
      <c r="B145" s="85">
        <v>32862</v>
      </c>
      <c r="C145" s="85">
        <v>35152</v>
      </c>
      <c r="D145" s="85">
        <v>37442</v>
      </c>
      <c r="E145" s="85">
        <v>39734</v>
      </c>
      <c r="F145" s="86">
        <v>48436</v>
      </c>
      <c r="G145" s="264">
        <v>8</v>
      </c>
      <c r="H145" s="78">
        <v>23.77</v>
      </c>
      <c r="I145" s="78">
        <v>19.54</v>
      </c>
      <c r="J145" s="78">
        <v>16.440000000000001</v>
      </c>
      <c r="K145" s="79">
        <v>21.57</v>
      </c>
    </row>
    <row r="146" spans="1:13" ht="15" customHeight="1" x14ac:dyDescent="0.25">
      <c r="A146" s="84">
        <v>9</v>
      </c>
      <c r="B146" s="85">
        <v>33501</v>
      </c>
      <c r="C146" s="85">
        <v>35790</v>
      </c>
      <c r="D146" s="85">
        <v>38082</v>
      </c>
      <c r="E146" s="85">
        <v>40374</v>
      </c>
      <c r="F146" s="86">
        <v>48436</v>
      </c>
      <c r="G146" s="264">
        <v>9</v>
      </c>
      <c r="H146" s="78">
        <v>24.44</v>
      </c>
      <c r="I146" s="78">
        <v>20.18</v>
      </c>
      <c r="J146" s="78">
        <v>16.940000000000001</v>
      </c>
      <c r="K146" s="79">
        <v>22.27</v>
      </c>
    </row>
    <row r="147" spans="1:13" ht="15" customHeight="1" x14ac:dyDescent="0.25">
      <c r="A147" s="84">
        <v>10</v>
      </c>
      <c r="B147" s="85">
        <v>34144</v>
      </c>
      <c r="C147" s="85">
        <v>36433</v>
      </c>
      <c r="D147" s="85">
        <v>38727</v>
      </c>
      <c r="E147" s="85">
        <v>41014</v>
      </c>
      <c r="F147" s="86">
        <v>48436</v>
      </c>
      <c r="G147" s="264">
        <v>10</v>
      </c>
      <c r="H147" s="78">
        <v>25.12</v>
      </c>
      <c r="I147" s="78">
        <v>20.83</v>
      </c>
      <c r="J147" s="78">
        <v>17.5</v>
      </c>
      <c r="K147" s="79">
        <v>23.01</v>
      </c>
    </row>
    <row r="148" spans="1:13" ht="15" customHeight="1" x14ac:dyDescent="0.25">
      <c r="A148" s="84">
        <v>11</v>
      </c>
      <c r="B148" s="85">
        <v>34780</v>
      </c>
      <c r="C148" s="85">
        <v>37074</v>
      </c>
      <c r="D148" s="85">
        <v>39363</v>
      </c>
      <c r="E148" s="85">
        <v>41680</v>
      </c>
      <c r="F148" s="86">
        <v>48436</v>
      </c>
      <c r="G148" s="264">
        <v>11</v>
      </c>
      <c r="H148" s="78">
        <v>25.79</v>
      </c>
      <c r="I148" s="78">
        <v>21.5</v>
      </c>
      <c r="J148" s="78">
        <v>18.05</v>
      </c>
      <c r="K148" s="79">
        <v>23.75</v>
      </c>
    </row>
    <row r="149" spans="1:13" ht="15" customHeight="1" x14ac:dyDescent="0.25">
      <c r="A149" s="84">
        <v>12</v>
      </c>
      <c r="B149" s="85">
        <v>35429</v>
      </c>
      <c r="C149" s="85">
        <v>37720</v>
      </c>
      <c r="D149" s="85">
        <v>40007</v>
      </c>
      <c r="E149" s="85">
        <v>42299</v>
      </c>
      <c r="F149" s="86">
        <v>48436</v>
      </c>
      <c r="G149" s="264">
        <v>12</v>
      </c>
      <c r="H149" s="78">
        <v>26.48</v>
      </c>
      <c r="I149" s="78">
        <v>22.2</v>
      </c>
      <c r="J149" s="78">
        <v>18.63</v>
      </c>
      <c r="K149" s="79">
        <v>24.51</v>
      </c>
    </row>
    <row r="150" spans="1:13" ht="15" customHeight="1" x14ac:dyDescent="0.25">
      <c r="A150" s="84">
        <v>13</v>
      </c>
      <c r="B150" s="85">
        <v>36660</v>
      </c>
      <c r="C150" s="85">
        <v>38972</v>
      </c>
      <c r="D150" s="85">
        <v>41285</v>
      </c>
      <c r="E150" s="85">
        <v>43599</v>
      </c>
      <c r="F150" s="86">
        <v>48436</v>
      </c>
      <c r="G150" s="264">
        <v>13</v>
      </c>
      <c r="H150" s="78">
        <v>27.15</v>
      </c>
      <c r="I150" s="78">
        <v>22.92</v>
      </c>
      <c r="J150" s="78">
        <v>19.12</v>
      </c>
      <c r="K150" s="79">
        <v>25.3</v>
      </c>
    </row>
    <row r="151" spans="1:13" ht="15" customHeight="1" x14ac:dyDescent="0.25">
      <c r="A151" s="54"/>
      <c r="B151" s="45"/>
      <c r="C151" s="45"/>
      <c r="D151" s="45"/>
      <c r="E151" s="45"/>
      <c r="F151" s="46"/>
      <c r="G151" s="264">
        <v>14</v>
      </c>
      <c r="H151" s="78">
        <v>27.84</v>
      </c>
      <c r="I151" s="78">
        <v>23.66</v>
      </c>
      <c r="J151" s="78">
        <v>19.86</v>
      </c>
      <c r="K151" s="79">
        <v>26.11</v>
      </c>
    </row>
    <row r="152" spans="1:13" ht="15" customHeight="1" x14ac:dyDescent="0.25">
      <c r="A152" s="58" t="s">
        <v>211</v>
      </c>
      <c r="B152" s="31"/>
      <c r="C152" s="31"/>
      <c r="D152" s="31"/>
      <c r="E152" s="31"/>
      <c r="F152" s="31"/>
      <c r="G152" s="52"/>
      <c r="H152" s="41" t="s">
        <v>212</v>
      </c>
      <c r="I152" s="52"/>
      <c r="J152" s="52"/>
      <c r="K152" s="52"/>
      <c r="L152" s="53"/>
      <c r="M152" s="31"/>
    </row>
    <row r="153" spans="1:13" ht="15" customHeight="1" x14ac:dyDescent="0.25">
      <c r="A153" s="261" t="s">
        <v>82</v>
      </c>
      <c r="B153" s="262" t="s">
        <v>210</v>
      </c>
      <c r="C153" s="262" t="s">
        <v>207</v>
      </c>
      <c r="D153" s="262" t="s">
        <v>206</v>
      </c>
      <c r="E153" s="262" t="s">
        <v>209</v>
      </c>
      <c r="F153" s="262" t="s">
        <v>208</v>
      </c>
      <c r="G153" s="262" t="s">
        <v>290</v>
      </c>
      <c r="H153" s="90" t="s">
        <v>210</v>
      </c>
      <c r="I153" s="89" t="s">
        <v>207</v>
      </c>
      <c r="J153" s="84" t="s">
        <v>206</v>
      </c>
      <c r="K153" s="89" t="s">
        <v>209</v>
      </c>
      <c r="L153" s="89" t="s">
        <v>208</v>
      </c>
      <c r="M153" s="31"/>
    </row>
    <row r="154" spans="1:13" ht="15" customHeight="1" x14ac:dyDescent="0.25">
      <c r="A154" s="75">
        <v>1</v>
      </c>
      <c r="B154" s="303">
        <v>12.230399999999999</v>
      </c>
      <c r="C154" s="303">
        <v>13.416</v>
      </c>
      <c r="D154" s="303">
        <v>13.6968</v>
      </c>
      <c r="E154" s="303">
        <v>14.393599999999999</v>
      </c>
      <c r="F154" s="303">
        <v>16.192799999999998</v>
      </c>
      <c r="G154" s="303">
        <v>12.573600000000001</v>
      </c>
      <c r="H154" s="303">
        <v>12.4262</v>
      </c>
      <c r="I154" s="303">
        <v>13.224500000000001</v>
      </c>
      <c r="J154" s="303">
        <v>13.518599999999999</v>
      </c>
      <c r="K154" s="303">
        <v>14.2014</v>
      </c>
      <c r="L154" s="303">
        <v>15.9451</v>
      </c>
    </row>
    <row r="155" spans="1:13" ht="15" customHeight="1" x14ac:dyDescent="0.25">
      <c r="A155" s="75">
        <v>2</v>
      </c>
      <c r="B155" s="303">
        <v>12.604799999999999</v>
      </c>
      <c r="C155" s="303">
        <v>13.8528</v>
      </c>
      <c r="D155" s="303">
        <v>14.154400000000001</v>
      </c>
      <c r="E155" s="303">
        <v>14.872</v>
      </c>
      <c r="F155" s="303">
        <v>16.712800000000001</v>
      </c>
      <c r="G155" s="303">
        <v>12.979200000000001</v>
      </c>
      <c r="H155" s="303">
        <v>12.8149</v>
      </c>
      <c r="I155" s="303">
        <v>13.6342</v>
      </c>
      <c r="J155" s="303">
        <v>13.9283</v>
      </c>
      <c r="K155" s="303">
        <v>14.632099999999999</v>
      </c>
      <c r="L155" s="303">
        <v>16.438800000000001</v>
      </c>
      <c r="M155" s="31"/>
    </row>
    <row r="156" spans="1:13" ht="15" customHeight="1" x14ac:dyDescent="0.25">
      <c r="A156" s="75">
        <v>3</v>
      </c>
      <c r="B156" s="303">
        <v>13.0312</v>
      </c>
      <c r="C156" s="303">
        <v>14.3</v>
      </c>
      <c r="D156" s="303">
        <v>14.612</v>
      </c>
      <c r="E156" s="303">
        <v>15.3504</v>
      </c>
      <c r="F156" s="303">
        <v>17.2744</v>
      </c>
      <c r="G156" s="303">
        <v>13.4056</v>
      </c>
      <c r="H156" s="303">
        <v>13.214</v>
      </c>
      <c r="I156" s="303">
        <v>14.0649</v>
      </c>
      <c r="J156" s="303">
        <v>14.359</v>
      </c>
      <c r="K156" s="303">
        <v>15.0837</v>
      </c>
      <c r="L156" s="303">
        <v>16.953499999999998</v>
      </c>
      <c r="M156" s="31"/>
    </row>
    <row r="157" spans="1:13" ht="15" customHeight="1" x14ac:dyDescent="0.25">
      <c r="A157" s="75">
        <v>4</v>
      </c>
      <c r="B157" s="303">
        <v>13.4368</v>
      </c>
      <c r="C157" s="303">
        <v>14.768000000000001</v>
      </c>
      <c r="D157" s="303">
        <v>15.08</v>
      </c>
      <c r="E157" s="303">
        <v>15.8392</v>
      </c>
      <c r="F157" s="303">
        <v>17.825600000000001</v>
      </c>
      <c r="G157" s="303">
        <v>13.8424</v>
      </c>
      <c r="H157" s="303">
        <v>13.623699999999999</v>
      </c>
      <c r="I157" s="303">
        <v>14.506</v>
      </c>
      <c r="J157" s="303">
        <v>14.810600000000001</v>
      </c>
      <c r="K157" s="303">
        <v>15.5564</v>
      </c>
      <c r="L157" s="303">
        <v>17.4892</v>
      </c>
      <c r="M157" s="31"/>
    </row>
    <row r="158" spans="1:13" ht="15" customHeight="1" x14ac:dyDescent="0.25">
      <c r="A158" s="75">
        <v>5</v>
      </c>
      <c r="B158" s="303">
        <v>14.0192</v>
      </c>
      <c r="C158" s="303">
        <v>15.2256</v>
      </c>
      <c r="D158" s="303">
        <v>15.548</v>
      </c>
      <c r="E158" s="303">
        <v>16.348800000000001</v>
      </c>
      <c r="F158" s="303">
        <v>18.480799999999999</v>
      </c>
      <c r="G158" s="303">
        <v>14.279199999999999</v>
      </c>
      <c r="H158" s="303">
        <v>14.043799999999999</v>
      </c>
      <c r="I158" s="303">
        <v>14.957700000000001</v>
      </c>
      <c r="J158" s="303">
        <v>15.2728</v>
      </c>
      <c r="K158" s="303">
        <v>16.0291</v>
      </c>
      <c r="L158" s="303">
        <v>18.035399999999999</v>
      </c>
      <c r="M158" s="31"/>
    </row>
    <row r="159" spans="1:13" ht="15" customHeight="1" x14ac:dyDescent="0.25">
      <c r="A159" s="75">
        <v>6</v>
      </c>
      <c r="B159" s="303">
        <v>14.3208</v>
      </c>
      <c r="C159" s="303">
        <v>15.7248</v>
      </c>
      <c r="D159" s="303">
        <v>16.068000000000001</v>
      </c>
      <c r="E159" s="303">
        <v>16.899999999999999</v>
      </c>
      <c r="F159" s="303">
        <v>19.063199999999998</v>
      </c>
      <c r="G159" s="303">
        <v>14.747199999999999</v>
      </c>
      <c r="H159" s="303">
        <v>14.474500000000001</v>
      </c>
      <c r="I159" s="303">
        <v>15.4094</v>
      </c>
      <c r="J159" s="303">
        <v>15.766500000000001</v>
      </c>
      <c r="K159" s="303">
        <v>16.543800000000001</v>
      </c>
      <c r="L159" s="303">
        <v>18.581600000000002</v>
      </c>
      <c r="M159" s="31"/>
    </row>
    <row r="160" spans="1:13" ht="15" customHeight="1" x14ac:dyDescent="0.25">
      <c r="A160" s="75">
        <v>7</v>
      </c>
      <c r="B160" s="303">
        <v>14.7888</v>
      </c>
      <c r="C160" s="303">
        <v>16.224</v>
      </c>
      <c r="D160" s="303">
        <v>16.556799999999999</v>
      </c>
      <c r="E160" s="303">
        <v>17.409600000000001</v>
      </c>
      <c r="F160" s="303">
        <v>19.645600000000002</v>
      </c>
      <c r="G160" s="303">
        <v>15.204800000000001</v>
      </c>
      <c r="H160" s="303">
        <v>14.9367</v>
      </c>
      <c r="I160" s="303">
        <v>15.882</v>
      </c>
      <c r="J160" s="303">
        <v>16.249700000000001</v>
      </c>
      <c r="K160" s="303">
        <v>17.047999999999998</v>
      </c>
      <c r="L160" s="303">
        <v>19.169799999999999</v>
      </c>
      <c r="M160" s="31"/>
    </row>
    <row r="161" spans="1:13" ht="15" customHeight="1" x14ac:dyDescent="0.25">
      <c r="A161" s="75">
        <v>8</v>
      </c>
      <c r="B161" s="303">
        <v>15.2776</v>
      </c>
      <c r="C161" s="303">
        <v>16.764800000000001</v>
      </c>
      <c r="D161" s="303">
        <v>17.0976</v>
      </c>
      <c r="E161" s="303">
        <v>17.992000000000001</v>
      </c>
      <c r="F161" s="303">
        <v>20.28</v>
      </c>
      <c r="G161" s="303">
        <v>15.704000000000001</v>
      </c>
      <c r="H161" s="303">
        <v>15.398899999999999</v>
      </c>
      <c r="I161" s="303">
        <v>16.375699999999998</v>
      </c>
      <c r="J161" s="303">
        <v>16.743400000000001</v>
      </c>
      <c r="K161" s="303">
        <v>17.5732</v>
      </c>
      <c r="L161" s="303">
        <v>19.757999999999999</v>
      </c>
      <c r="M161" s="31"/>
    </row>
    <row r="162" spans="1:13" ht="15" customHeight="1" x14ac:dyDescent="0.25">
      <c r="A162" s="75">
        <v>9</v>
      </c>
      <c r="B162" s="303">
        <v>15.766400000000001</v>
      </c>
      <c r="C162" s="303">
        <v>17.3264</v>
      </c>
      <c r="D162" s="303">
        <v>17.659199999999998</v>
      </c>
      <c r="E162" s="303">
        <v>18.574400000000001</v>
      </c>
      <c r="F162" s="303">
        <v>20.945599999999999</v>
      </c>
      <c r="G162" s="303">
        <v>16.2136</v>
      </c>
      <c r="H162" s="303">
        <v>15.871499999999999</v>
      </c>
      <c r="I162" s="303">
        <v>16.879899999999999</v>
      </c>
      <c r="J162" s="303">
        <v>17.258099999999999</v>
      </c>
      <c r="K162" s="303">
        <v>18.119399999999999</v>
      </c>
      <c r="L162" s="303">
        <v>20.3673</v>
      </c>
      <c r="M162" s="31"/>
    </row>
    <row r="163" spans="1:13" ht="15" customHeight="1" x14ac:dyDescent="0.25">
      <c r="A163" s="75">
        <v>10</v>
      </c>
      <c r="B163" s="303">
        <v>16.276</v>
      </c>
      <c r="C163" s="303">
        <v>17.846399999999999</v>
      </c>
      <c r="D163" s="303">
        <v>18.231200000000001</v>
      </c>
      <c r="E163" s="303">
        <v>19.187999999999999</v>
      </c>
      <c r="F163" s="303">
        <v>21.642399999999999</v>
      </c>
      <c r="G163" s="303">
        <v>16.7544</v>
      </c>
      <c r="H163" s="303">
        <v>16.354700000000001</v>
      </c>
      <c r="I163" s="303">
        <v>17.405100000000001</v>
      </c>
      <c r="J163" s="303">
        <v>17.793800000000001</v>
      </c>
      <c r="K163" s="303">
        <v>18.665600000000001</v>
      </c>
      <c r="L163" s="303">
        <v>20.997499999999999</v>
      </c>
      <c r="M163" s="31"/>
    </row>
    <row r="164" spans="1:13" ht="15" customHeight="1" x14ac:dyDescent="0.25">
      <c r="A164" s="75">
        <v>11</v>
      </c>
      <c r="B164" s="303">
        <v>16.827200000000001</v>
      </c>
      <c r="C164" s="303">
        <v>18.4496</v>
      </c>
      <c r="D164" s="303">
        <v>18.813600000000001</v>
      </c>
      <c r="E164" s="303">
        <v>19.780799999999999</v>
      </c>
      <c r="F164" s="303">
        <v>22.339200000000002</v>
      </c>
      <c r="G164" s="303">
        <v>17.305599999999998</v>
      </c>
      <c r="H164" s="303">
        <v>16.869399999999999</v>
      </c>
      <c r="I164" s="303">
        <v>17.940799999999999</v>
      </c>
      <c r="J164" s="303">
        <v>18.34</v>
      </c>
      <c r="K164" s="303">
        <v>19.264299999999999</v>
      </c>
      <c r="L164" s="303">
        <v>21.638200000000001</v>
      </c>
      <c r="M164" s="31"/>
    </row>
    <row r="165" spans="1:13" ht="15" customHeight="1" x14ac:dyDescent="0.25">
      <c r="A165" s="75">
        <v>12</v>
      </c>
      <c r="B165" s="303">
        <v>17.347200000000001</v>
      </c>
      <c r="C165" s="303">
        <v>19.042400000000001</v>
      </c>
      <c r="D165" s="303">
        <v>19.416799999999999</v>
      </c>
      <c r="E165" s="303">
        <v>20.415199999999999</v>
      </c>
      <c r="F165" s="303">
        <v>23.046399999999998</v>
      </c>
      <c r="G165" s="303">
        <v>17.825600000000001</v>
      </c>
      <c r="H165" s="303">
        <v>17.394600000000001</v>
      </c>
      <c r="I165" s="303">
        <v>18.518599999999999</v>
      </c>
      <c r="J165" s="303">
        <v>18.9177</v>
      </c>
      <c r="K165" s="303">
        <v>19.852599999999999</v>
      </c>
      <c r="L165" s="303">
        <v>22.321000000000002</v>
      </c>
      <c r="M165" s="31"/>
    </row>
    <row r="166" spans="1:13" ht="15" customHeight="1" x14ac:dyDescent="0.25">
      <c r="A166" s="75">
        <v>13</v>
      </c>
      <c r="B166" s="303">
        <v>17.898399999999999</v>
      </c>
      <c r="C166" s="303">
        <v>19.635200000000001</v>
      </c>
      <c r="D166" s="303">
        <v>20.071999999999999</v>
      </c>
      <c r="E166" s="303">
        <v>21.091200000000001</v>
      </c>
      <c r="F166" s="303">
        <v>23.753599999999999</v>
      </c>
      <c r="G166" s="303">
        <v>18.418399999999998</v>
      </c>
      <c r="H166" s="299"/>
      <c r="I166" s="299"/>
      <c r="J166" s="299"/>
      <c r="K166" s="299"/>
      <c r="L166" s="299"/>
      <c r="M166" s="31"/>
    </row>
    <row r="167" spans="1:13" ht="15" customHeight="1" x14ac:dyDescent="0.25">
      <c r="A167" s="75">
        <v>14</v>
      </c>
      <c r="B167" s="303">
        <v>18.480799999999999</v>
      </c>
      <c r="C167" s="303">
        <v>20.269600000000001</v>
      </c>
      <c r="D167" s="303">
        <v>20.706399999999999</v>
      </c>
      <c r="E167" s="303">
        <v>21.767199999999999</v>
      </c>
      <c r="F167" s="303">
        <v>24.575199999999999</v>
      </c>
      <c r="G167" s="303">
        <v>19.021599999999999</v>
      </c>
      <c r="H167" s="299"/>
      <c r="I167" s="299"/>
      <c r="J167" s="299"/>
      <c r="K167" s="299"/>
      <c r="L167" s="299"/>
      <c r="M167" s="31"/>
    </row>
    <row r="168" spans="1:13" ht="15" customHeight="1" x14ac:dyDescent="0.25">
      <c r="A168" s="75">
        <v>15</v>
      </c>
      <c r="B168" s="303">
        <v>19.084</v>
      </c>
      <c r="C168" s="303">
        <v>20.945599999999999</v>
      </c>
      <c r="D168" s="303">
        <v>21.351199999999999</v>
      </c>
      <c r="E168" s="303">
        <v>22.474399999999999</v>
      </c>
      <c r="F168" s="303">
        <v>25.3552</v>
      </c>
      <c r="G168" s="303">
        <v>19.6248</v>
      </c>
      <c r="H168" s="299"/>
      <c r="I168" s="299"/>
      <c r="J168" s="299"/>
      <c r="K168" s="299"/>
      <c r="L168" s="299"/>
      <c r="M168" s="31"/>
    </row>
    <row r="169" spans="1:13" ht="15" customHeight="1" x14ac:dyDescent="0.25">
      <c r="A169" s="75">
        <v>16</v>
      </c>
      <c r="B169" s="303">
        <v>19.6768</v>
      </c>
      <c r="C169" s="303">
        <v>21.6112</v>
      </c>
      <c r="D169" s="303">
        <v>22.037600000000001</v>
      </c>
      <c r="E169" s="303">
        <v>23.202400000000001</v>
      </c>
      <c r="F169" s="303">
        <v>26.155999999999999</v>
      </c>
      <c r="G169" s="303">
        <v>20.248799999999999</v>
      </c>
      <c r="H169" s="299"/>
      <c r="I169" s="299"/>
      <c r="J169" s="299"/>
      <c r="K169" s="299"/>
      <c r="L169" s="299"/>
      <c r="M169" s="31"/>
    </row>
    <row r="170" spans="1:13" ht="15" customHeight="1" x14ac:dyDescent="0.25">
      <c r="B170" s="303"/>
      <c r="C170" s="303"/>
      <c r="D170" s="303"/>
      <c r="E170" s="303"/>
      <c r="F170" s="303"/>
      <c r="G170" s="303"/>
      <c r="H170" s="299"/>
      <c r="I170" s="299"/>
      <c r="J170" s="299"/>
      <c r="K170" s="299"/>
      <c r="L170" s="299"/>
      <c r="M170" s="31"/>
    </row>
    <row r="171" spans="1:13" ht="15" customHeight="1" x14ac:dyDescent="0.25">
      <c r="A171" s="41" t="s">
        <v>213</v>
      </c>
      <c r="B171" s="52"/>
      <c r="C171" s="43"/>
    </row>
    <row r="172" spans="1:13" ht="15" customHeight="1" x14ac:dyDescent="0.25">
      <c r="A172" s="84" t="s">
        <v>82</v>
      </c>
      <c r="B172" s="89" t="s">
        <v>214</v>
      </c>
      <c r="C172" s="90" t="s">
        <v>215</v>
      </c>
    </row>
    <row r="173" spans="1:13" ht="15" customHeight="1" x14ac:dyDescent="0.25">
      <c r="A173" s="84">
        <v>1</v>
      </c>
      <c r="B173" s="303">
        <v>18.024999999999999</v>
      </c>
      <c r="C173" s="303">
        <v>11.0725</v>
      </c>
    </row>
    <row r="174" spans="1:13" ht="15" customHeight="1" x14ac:dyDescent="0.25">
      <c r="A174" s="84">
        <v>2</v>
      </c>
      <c r="B174" s="303">
        <v>18.612100000000002</v>
      </c>
      <c r="C174" s="303">
        <v>11.3918</v>
      </c>
    </row>
    <row r="175" spans="1:13" ht="15" customHeight="1" x14ac:dyDescent="0.25">
      <c r="A175" s="84">
        <v>3</v>
      </c>
      <c r="B175" s="303">
        <v>19.250699999999998</v>
      </c>
      <c r="C175" s="303">
        <v>11.7523</v>
      </c>
    </row>
    <row r="176" spans="1:13" ht="15" customHeight="1" x14ac:dyDescent="0.25">
      <c r="A176" s="84">
        <v>4</v>
      </c>
      <c r="B176" s="303">
        <v>19.8584</v>
      </c>
      <c r="C176" s="303">
        <v>12.1128</v>
      </c>
    </row>
    <row r="177" spans="1:44" ht="15" customHeight="1" x14ac:dyDescent="0.25">
      <c r="A177" s="84">
        <v>5</v>
      </c>
      <c r="B177" s="303">
        <v>20.517600000000002</v>
      </c>
      <c r="C177" s="303">
        <v>12.4939</v>
      </c>
    </row>
    <row r="178" spans="1:44" ht="15" customHeight="1" x14ac:dyDescent="0.25">
      <c r="A178" s="84">
        <v>6</v>
      </c>
      <c r="B178" s="305"/>
      <c r="C178" s="303">
        <v>12.8956</v>
      </c>
    </row>
    <row r="179" spans="1:44" ht="15" customHeight="1" x14ac:dyDescent="0.25">
      <c r="A179" s="84">
        <v>7</v>
      </c>
      <c r="B179" s="305"/>
      <c r="C179" s="303">
        <v>13.2767</v>
      </c>
    </row>
    <row r="180" spans="1:44" ht="15" customHeight="1" x14ac:dyDescent="0.25">
      <c r="A180" s="84">
        <v>8</v>
      </c>
      <c r="B180" s="305"/>
      <c r="C180" s="303">
        <v>13.699</v>
      </c>
    </row>
    <row r="181" spans="1:44" ht="15" customHeight="1" x14ac:dyDescent="0.25">
      <c r="A181" s="84">
        <v>9</v>
      </c>
      <c r="B181" s="305"/>
      <c r="C181" s="303">
        <v>14.1625</v>
      </c>
    </row>
    <row r="182" spans="1:44" ht="15" customHeight="1" x14ac:dyDescent="0.25">
      <c r="A182" s="84">
        <v>10</v>
      </c>
      <c r="B182" s="305"/>
      <c r="C182" s="303">
        <v>14.5951</v>
      </c>
    </row>
    <row r="183" spans="1:44" ht="15" customHeight="1" x14ac:dyDescent="0.25">
      <c r="A183" s="87">
        <v>11</v>
      </c>
      <c r="B183" s="305"/>
      <c r="C183" s="303">
        <v>15.0586</v>
      </c>
    </row>
    <row r="184" spans="1:44" ht="15" customHeight="1" thickBot="1" x14ac:dyDescent="0.3"/>
    <row r="185" spans="1:44" ht="15" customHeight="1" thickBot="1" x14ac:dyDescent="0.3">
      <c r="A185" s="325" t="s">
        <v>82</v>
      </c>
      <c r="B185" s="326">
        <v>0</v>
      </c>
      <c r="C185" s="326">
        <v>1</v>
      </c>
      <c r="D185" s="326">
        <v>2</v>
      </c>
      <c r="E185" s="326">
        <v>3</v>
      </c>
      <c r="F185" s="326">
        <v>4</v>
      </c>
      <c r="G185" s="326">
        <v>5</v>
      </c>
      <c r="H185" s="326">
        <v>6</v>
      </c>
      <c r="I185" s="326">
        <v>7</v>
      </c>
      <c r="J185" s="326">
        <v>8</v>
      </c>
      <c r="K185" s="326">
        <v>9</v>
      </c>
      <c r="L185" s="326">
        <v>10</v>
      </c>
      <c r="M185" s="326">
        <v>11</v>
      </c>
      <c r="N185" s="326">
        <v>12</v>
      </c>
      <c r="O185" s="326">
        <v>13</v>
      </c>
      <c r="P185" s="326">
        <v>14</v>
      </c>
      <c r="Q185" s="326">
        <v>15</v>
      </c>
      <c r="R185" s="326">
        <v>16</v>
      </c>
      <c r="S185" s="326">
        <v>17</v>
      </c>
      <c r="T185" s="326">
        <v>18</v>
      </c>
      <c r="U185" s="326">
        <v>19</v>
      </c>
      <c r="V185" s="377">
        <v>20</v>
      </c>
      <c r="W185" s="305"/>
      <c r="X185" s="326">
        <v>0</v>
      </c>
      <c r="Y185" s="326">
        <v>1</v>
      </c>
      <c r="Z185" s="326">
        <v>2</v>
      </c>
      <c r="AA185" s="326">
        <v>3</v>
      </c>
      <c r="AB185" s="326">
        <v>4</v>
      </c>
      <c r="AC185" s="326">
        <v>5</v>
      </c>
      <c r="AD185" s="326">
        <v>6</v>
      </c>
      <c r="AE185" s="326">
        <v>7</v>
      </c>
      <c r="AF185" s="326">
        <v>8</v>
      </c>
      <c r="AG185" s="326">
        <v>9</v>
      </c>
      <c r="AH185" s="326">
        <v>10</v>
      </c>
      <c r="AI185" s="326">
        <v>11</v>
      </c>
      <c r="AJ185" s="326">
        <v>12</v>
      </c>
      <c r="AK185" s="326">
        <v>13</v>
      </c>
      <c r="AL185" s="326">
        <v>14</v>
      </c>
      <c r="AM185" s="326">
        <v>15</v>
      </c>
      <c r="AN185" s="326">
        <v>16</v>
      </c>
      <c r="AO185" s="326">
        <v>17</v>
      </c>
      <c r="AP185" s="326">
        <v>18</v>
      </c>
      <c r="AQ185" s="326">
        <v>19</v>
      </c>
      <c r="AR185" s="377">
        <v>20</v>
      </c>
    </row>
    <row r="186" spans="1:44" ht="15" customHeight="1" x14ac:dyDescent="0.35">
      <c r="A186" s="455">
        <v>1</v>
      </c>
      <c r="B186" s="437">
        <v>8.93</v>
      </c>
      <c r="C186" s="438">
        <v>9.1069999999999993</v>
      </c>
      <c r="D186" s="438">
        <v>9.3801000000000005</v>
      </c>
      <c r="E186" s="438">
        <v>9.5586000000000002</v>
      </c>
      <c r="F186" s="438">
        <v>9.7371999999999996</v>
      </c>
      <c r="G186" s="438">
        <v>9.9158000000000008</v>
      </c>
      <c r="H186" s="438">
        <v>10.1784</v>
      </c>
      <c r="I186" s="438">
        <v>10.3569</v>
      </c>
      <c r="J186" s="438">
        <v>10.535500000000001</v>
      </c>
      <c r="K186" s="438">
        <v>10.8086</v>
      </c>
      <c r="L186" s="438">
        <v>10.9872</v>
      </c>
      <c r="M186" s="438">
        <v>11.165800000000001</v>
      </c>
      <c r="N186" s="438">
        <v>11.4284</v>
      </c>
      <c r="O186" s="438">
        <v>11.6069</v>
      </c>
      <c r="P186" s="438">
        <v>11.785500000000001</v>
      </c>
      <c r="Q186" s="438">
        <v>11.9641</v>
      </c>
      <c r="R186" s="438">
        <v>12.2372</v>
      </c>
      <c r="S186" s="438">
        <v>12.2372</v>
      </c>
      <c r="T186" s="438">
        <v>12.2372</v>
      </c>
      <c r="U186" s="438">
        <v>12.2372</v>
      </c>
      <c r="V186" s="439">
        <v>12.415699999999999</v>
      </c>
      <c r="W186" s="434">
        <v>1</v>
      </c>
      <c r="X186" s="454">
        <f>B186*261*8</f>
        <v>18645.84</v>
      </c>
      <c r="Y186" s="454">
        <f t="shared" ref="Y186:AR198" si="0">C186*261*8</f>
        <v>19015.415999999997</v>
      </c>
      <c r="Z186" s="454">
        <f t="shared" si="0"/>
        <v>19585.648800000003</v>
      </c>
      <c r="AA186" s="454">
        <f t="shared" si="0"/>
        <v>19958.356800000001</v>
      </c>
      <c r="AB186" s="454">
        <f t="shared" si="0"/>
        <v>20331.2736</v>
      </c>
      <c r="AC186" s="454">
        <f t="shared" si="0"/>
        <v>20704.190400000003</v>
      </c>
      <c r="AD186" s="454">
        <f t="shared" si="0"/>
        <v>21252.499199999998</v>
      </c>
      <c r="AE186" s="454">
        <f t="shared" si="0"/>
        <v>21625.207200000001</v>
      </c>
      <c r="AF186" s="454">
        <f t="shared" si="0"/>
        <v>21998.124</v>
      </c>
      <c r="AG186" s="454">
        <f t="shared" si="0"/>
        <v>22568.356800000001</v>
      </c>
      <c r="AH186" s="454">
        <f t="shared" si="0"/>
        <v>22941.2736</v>
      </c>
      <c r="AI186" s="454">
        <f t="shared" si="0"/>
        <v>23314.190400000003</v>
      </c>
      <c r="AJ186" s="454">
        <f t="shared" si="0"/>
        <v>23862.499199999998</v>
      </c>
      <c r="AK186" s="454">
        <f t="shared" si="0"/>
        <v>24235.207200000001</v>
      </c>
      <c r="AL186" s="454">
        <f t="shared" si="0"/>
        <v>24608.124</v>
      </c>
      <c r="AM186" s="454">
        <f t="shared" si="0"/>
        <v>24981.040799999999</v>
      </c>
      <c r="AN186" s="454">
        <f t="shared" si="0"/>
        <v>25551.2736</v>
      </c>
      <c r="AO186" s="454">
        <f t="shared" si="0"/>
        <v>25551.2736</v>
      </c>
      <c r="AP186" s="454">
        <f t="shared" si="0"/>
        <v>25551.2736</v>
      </c>
      <c r="AQ186" s="454">
        <f t="shared" si="0"/>
        <v>25551.2736</v>
      </c>
      <c r="AR186" s="454">
        <f t="shared" si="0"/>
        <v>25923.981599999999</v>
      </c>
    </row>
    <row r="187" spans="1:44" ht="15" customHeight="1" x14ac:dyDescent="0.35">
      <c r="A187" s="305"/>
      <c r="B187" s="440">
        <v>10.7141</v>
      </c>
      <c r="C187" s="441">
        <v>10.924200000000001</v>
      </c>
      <c r="D187" s="441">
        <v>11.2498</v>
      </c>
      <c r="E187" s="441">
        <v>11.459899999999999</v>
      </c>
      <c r="F187" s="441">
        <v>11.680400000000001</v>
      </c>
      <c r="G187" s="441">
        <v>11.890499999999999</v>
      </c>
      <c r="H187" s="441">
        <v>12.216200000000001</v>
      </c>
      <c r="I187" s="441">
        <v>12.4262</v>
      </c>
      <c r="J187" s="441">
        <v>12.646800000000001</v>
      </c>
      <c r="K187" s="441">
        <v>12.9619</v>
      </c>
      <c r="L187" s="441">
        <v>13.182499999999999</v>
      </c>
      <c r="M187" s="441">
        <v>13.3926</v>
      </c>
      <c r="N187" s="441">
        <v>13.7182</v>
      </c>
      <c r="O187" s="441">
        <v>13.9283</v>
      </c>
      <c r="P187" s="441">
        <v>14.138400000000001</v>
      </c>
      <c r="Q187" s="441">
        <v>14.359</v>
      </c>
      <c r="R187" s="441">
        <v>14.674099999999999</v>
      </c>
      <c r="S187" s="441">
        <v>14.674099999999999</v>
      </c>
      <c r="T187" s="441">
        <v>14.674099999999999</v>
      </c>
      <c r="U187" s="441">
        <v>14.674099999999999</v>
      </c>
      <c r="V187" s="442">
        <v>14.8947</v>
      </c>
      <c r="W187" s="435">
        <v>2</v>
      </c>
      <c r="X187" s="454">
        <f t="shared" ref="X187:AM214" si="1">B187*261*8</f>
        <v>22371.040799999999</v>
      </c>
      <c r="Y187" s="454">
        <f t="shared" si="0"/>
        <v>22809.729600000002</v>
      </c>
      <c r="Z187" s="454">
        <f t="shared" si="0"/>
        <v>23489.582399999999</v>
      </c>
      <c r="AA187" s="454">
        <f t="shared" si="0"/>
        <v>23928.271199999999</v>
      </c>
      <c r="AB187" s="454">
        <f t="shared" si="0"/>
        <v>24388.675200000001</v>
      </c>
      <c r="AC187" s="454">
        <f t="shared" si="0"/>
        <v>24827.363999999998</v>
      </c>
      <c r="AD187" s="454">
        <f t="shared" si="0"/>
        <v>25507.425600000002</v>
      </c>
      <c r="AE187" s="454">
        <f t="shared" si="0"/>
        <v>25945.905599999998</v>
      </c>
      <c r="AF187" s="454">
        <f t="shared" si="0"/>
        <v>26406.518400000001</v>
      </c>
      <c r="AG187" s="454">
        <f t="shared" si="0"/>
        <v>27064.447199999999</v>
      </c>
      <c r="AH187" s="454">
        <f t="shared" si="0"/>
        <v>27525.059999999998</v>
      </c>
      <c r="AI187" s="454">
        <f t="shared" si="0"/>
        <v>27963.748800000001</v>
      </c>
      <c r="AJ187" s="454">
        <f t="shared" si="0"/>
        <v>28643.601599999998</v>
      </c>
      <c r="AK187" s="454">
        <f t="shared" si="0"/>
        <v>29082.290400000002</v>
      </c>
      <c r="AL187" s="454">
        <f t="shared" si="0"/>
        <v>29520.979200000002</v>
      </c>
      <c r="AM187" s="454">
        <f t="shared" si="0"/>
        <v>29981.592000000001</v>
      </c>
      <c r="AN187" s="454">
        <f t="shared" si="0"/>
        <v>30639.520799999998</v>
      </c>
      <c r="AO187" s="454">
        <f t="shared" si="0"/>
        <v>30639.520799999998</v>
      </c>
      <c r="AP187" s="454">
        <f t="shared" si="0"/>
        <v>30639.520799999998</v>
      </c>
      <c r="AQ187" s="454">
        <f t="shared" si="0"/>
        <v>30639.520799999998</v>
      </c>
      <c r="AR187" s="454">
        <f t="shared" si="0"/>
        <v>31100.133600000001</v>
      </c>
    </row>
    <row r="188" spans="1:44" ht="15" customHeight="1" x14ac:dyDescent="0.35">
      <c r="A188" s="305"/>
      <c r="B188" s="440">
        <v>11.785500000000001</v>
      </c>
      <c r="C188" s="441">
        <v>12.0166</v>
      </c>
      <c r="D188" s="441">
        <v>12.373699999999999</v>
      </c>
      <c r="E188" s="441">
        <v>12.6153</v>
      </c>
      <c r="F188" s="441">
        <v>12.846399999999999</v>
      </c>
      <c r="G188" s="441">
        <v>13.077500000000001</v>
      </c>
      <c r="H188" s="441">
        <v>13.4346</v>
      </c>
      <c r="I188" s="441">
        <v>13.6762</v>
      </c>
      <c r="J188" s="441">
        <v>13.907299999999999</v>
      </c>
      <c r="K188" s="441">
        <v>14.2644</v>
      </c>
      <c r="L188" s="441">
        <v>14.4955</v>
      </c>
      <c r="M188" s="441">
        <v>14.7371</v>
      </c>
      <c r="N188" s="441">
        <v>15.0837</v>
      </c>
      <c r="O188" s="441">
        <v>15.3253</v>
      </c>
      <c r="P188" s="441">
        <v>15.5564</v>
      </c>
      <c r="Q188" s="441">
        <v>15.7875</v>
      </c>
      <c r="R188" s="441">
        <v>16.144600000000001</v>
      </c>
      <c r="S188" s="441">
        <v>16.144600000000001</v>
      </c>
      <c r="T188" s="441">
        <v>16.144600000000001</v>
      </c>
      <c r="U188" s="441">
        <v>16.144600000000001</v>
      </c>
      <c r="V188" s="442">
        <v>16.386199999999999</v>
      </c>
      <c r="W188" s="435">
        <v>3</v>
      </c>
      <c r="X188" s="454">
        <f t="shared" si="1"/>
        <v>24608.124</v>
      </c>
      <c r="Y188" s="454">
        <f t="shared" si="0"/>
        <v>25090.660800000001</v>
      </c>
      <c r="Z188" s="454">
        <f t="shared" si="0"/>
        <v>25836.285599999999</v>
      </c>
      <c r="AA188" s="454">
        <f t="shared" si="0"/>
        <v>26340.7464</v>
      </c>
      <c r="AB188" s="454">
        <f t="shared" si="0"/>
        <v>26823.283199999998</v>
      </c>
      <c r="AC188" s="454">
        <f t="shared" si="0"/>
        <v>27305.82</v>
      </c>
      <c r="AD188" s="454">
        <f t="shared" si="0"/>
        <v>28051.444799999997</v>
      </c>
      <c r="AE188" s="454">
        <f t="shared" si="0"/>
        <v>28555.905599999998</v>
      </c>
      <c r="AF188" s="454">
        <f t="shared" si="0"/>
        <v>29038.4424</v>
      </c>
      <c r="AG188" s="454">
        <f t="shared" si="0"/>
        <v>29784.067200000001</v>
      </c>
      <c r="AH188" s="454">
        <f t="shared" si="0"/>
        <v>30266.603999999999</v>
      </c>
      <c r="AI188" s="454">
        <f t="shared" si="0"/>
        <v>30771.0648</v>
      </c>
      <c r="AJ188" s="454">
        <f t="shared" si="0"/>
        <v>31494.765600000002</v>
      </c>
      <c r="AK188" s="454">
        <f t="shared" si="0"/>
        <v>31999.2264</v>
      </c>
      <c r="AL188" s="454">
        <f t="shared" si="0"/>
        <v>32481.763200000001</v>
      </c>
      <c r="AM188" s="454">
        <f t="shared" si="0"/>
        <v>32964.299999999996</v>
      </c>
      <c r="AN188" s="454">
        <f t="shared" si="0"/>
        <v>33709.924800000001</v>
      </c>
      <c r="AO188" s="454">
        <f t="shared" si="0"/>
        <v>33709.924800000001</v>
      </c>
      <c r="AP188" s="454">
        <f t="shared" si="0"/>
        <v>33709.924800000001</v>
      </c>
      <c r="AQ188" s="454">
        <f t="shared" si="0"/>
        <v>33709.924800000001</v>
      </c>
      <c r="AR188" s="454">
        <f t="shared" si="0"/>
        <v>34214.385599999994</v>
      </c>
    </row>
    <row r="189" spans="1:44" ht="15" customHeight="1" x14ac:dyDescent="0.35">
      <c r="A189" s="305"/>
      <c r="B189" s="440">
        <v>12.373699999999999</v>
      </c>
      <c r="C189" s="441">
        <v>12.6258</v>
      </c>
      <c r="D189" s="441">
        <v>12.993399999999999</v>
      </c>
      <c r="E189" s="441">
        <v>13.2455</v>
      </c>
      <c r="F189" s="441">
        <v>13.4871</v>
      </c>
      <c r="G189" s="441">
        <v>13.7392</v>
      </c>
      <c r="H189" s="441">
        <v>14.1069</v>
      </c>
      <c r="I189" s="441">
        <v>14.359</v>
      </c>
      <c r="J189" s="441">
        <v>14.6006</v>
      </c>
      <c r="K189" s="441">
        <v>14.9787</v>
      </c>
      <c r="L189" s="441">
        <v>15.2203</v>
      </c>
      <c r="M189" s="441">
        <v>15.4724</v>
      </c>
      <c r="N189" s="441">
        <v>15.84</v>
      </c>
      <c r="O189" s="441">
        <v>16.092099999999999</v>
      </c>
      <c r="P189" s="441">
        <v>16.3337</v>
      </c>
      <c r="Q189" s="441">
        <v>16.585799999999999</v>
      </c>
      <c r="R189" s="441">
        <v>16.953499999999998</v>
      </c>
      <c r="S189" s="441">
        <v>16.953499999999998</v>
      </c>
      <c r="T189" s="441">
        <v>16.953499999999998</v>
      </c>
      <c r="U189" s="441">
        <v>16.953499999999998</v>
      </c>
      <c r="V189" s="442">
        <v>17.2056</v>
      </c>
      <c r="W189" s="435">
        <v>4</v>
      </c>
      <c r="X189" s="454">
        <f t="shared" si="1"/>
        <v>25836.285599999999</v>
      </c>
      <c r="Y189" s="454">
        <f t="shared" si="0"/>
        <v>26362.670399999999</v>
      </c>
      <c r="Z189" s="454">
        <f t="shared" si="0"/>
        <v>27130.2192</v>
      </c>
      <c r="AA189" s="454">
        <f t="shared" si="0"/>
        <v>27656.603999999999</v>
      </c>
      <c r="AB189" s="454">
        <f t="shared" si="0"/>
        <v>28161.0648</v>
      </c>
      <c r="AC189" s="454">
        <f t="shared" si="0"/>
        <v>28687.4496</v>
      </c>
      <c r="AD189" s="454">
        <f t="shared" si="0"/>
        <v>29455.207200000001</v>
      </c>
      <c r="AE189" s="454">
        <f t="shared" si="0"/>
        <v>29981.592000000001</v>
      </c>
      <c r="AF189" s="454">
        <f t="shared" si="0"/>
        <v>30486.052800000001</v>
      </c>
      <c r="AG189" s="454">
        <f t="shared" si="0"/>
        <v>31275.525600000001</v>
      </c>
      <c r="AH189" s="454">
        <f t="shared" si="0"/>
        <v>31779.986400000002</v>
      </c>
      <c r="AI189" s="454">
        <f t="shared" si="0"/>
        <v>32306.371200000001</v>
      </c>
      <c r="AJ189" s="454">
        <f t="shared" si="0"/>
        <v>33073.919999999998</v>
      </c>
      <c r="AK189" s="454">
        <f t="shared" si="0"/>
        <v>33600.304799999998</v>
      </c>
      <c r="AL189" s="454">
        <f t="shared" si="0"/>
        <v>34104.765599999999</v>
      </c>
      <c r="AM189" s="454">
        <f t="shared" si="0"/>
        <v>34631.150399999999</v>
      </c>
      <c r="AN189" s="454">
        <f t="shared" si="0"/>
        <v>35398.907999999996</v>
      </c>
      <c r="AO189" s="454">
        <f t="shared" si="0"/>
        <v>35398.907999999996</v>
      </c>
      <c r="AP189" s="454">
        <f t="shared" si="0"/>
        <v>35398.907999999996</v>
      </c>
      <c r="AQ189" s="454">
        <f t="shared" si="0"/>
        <v>35398.907999999996</v>
      </c>
      <c r="AR189" s="454">
        <f t="shared" si="0"/>
        <v>35925.292800000003</v>
      </c>
    </row>
    <row r="190" spans="1:44" ht="15" customHeight="1" x14ac:dyDescent="0.35">
      <c r="A190" s="305"/>
      <c r="B190" s="440">
        <v>12.993399999999999</v>
      </c>
      <c r="C190" s="441">
        <v>13.256</v>
      </c>
      <c r="D190" s="441">
        <v>13.6447</v>
      </c>
      <c r="E190" s="441">
        <v>13.907299999999999</v>
      </c>
      <c r="F190" s="441">
        <v>14.1594</v>
      </c>
      <c r="G190" s="441">
        <v>14.422000000000001</v>
      </c>
      <c r="H190" s="441">
        <v>14.810600000000001</v>
      </c>
      <c r="I190" s="441">
        <v>15.0732</v>
      </c>
      <c r="J190" s="441">
        <v>15.335800000000001</v>
      </c>
      <c r="K190" s="441">
        <v>15.724500000000001</v>
      </c>
      <c r="L190" s="441">
        <v>15.9871</v>
      </c>
      <c r="M190" s="441">
        <v>16.2392</v>
      </c>
      <c r="N190" s="441">
        <v>16.627800000000001</v>
      </c>
      <c r="O190" s="441">
        <v>16.8904</v>
      </c>
      <c r="P190" s="441">
        <v>17.152999999999999</v>
      </c>
      <c r="Q190" s="441">
        <v>17.415600000000001</v>
      </c>
      <c r="R190" s="441">
        <v>17.804300000000001</v>
      </c>
      <c r="S190" s="441">
        <v>17.804300000000001</v>
      </c>
      <c r="T190" s="441">
        <v>17.804300000000001</v>
      </c>
      <c r="U190" s="441">
        <v>17.804300000000001</v>
      </c>
      <c r="V190" s="442">
        <v>18.0564</v>
      </c>
      <c r="W190" s="435">
        <v>5</v>
      </c>
      <c r="X190" s="454">
        <f t="shared" si="1"/>
        <v>27130.2192</v>
      </c>
      <c r="Y190" s="454">
        <f t="shared" si="0"/>
        <v>27678.528000000002</v>
      </c>
      <c r="Z190" s="454">
        <f t="shared" si="0"/>
        <v>28490.133600000001</v>
      </c>
      <c r="AA190" s="454">
        <f t="shared" si="0"/>
        <v>29038.4424</v>
      </c>
      <c r="AB190" s="454">
        <f t="shared" si="0"/>
        <v>29564.8272</v>
      </c>
      <c r="AC190" s="454">
        <f t="shared" si="0"/>
        <v>30113.136000000002</v>
      </c>
      <c r="AD190" s="454">
        <f t="shared" si="0"/>
        <v>30924.532800000001</v>
      </c>
      <c r="AE190" s="454">
        <f t="shared" si="0"/>
        <v>31472.8416</v>
      </c>
      <c r="AF190" s="454">
        <f t="shared" si="0"/>
        <v>32021.150400000002</v>
      </c>
      <c r="AG190" s="454">
        <f t="shared" si="0"/>
        <v>32832.756000000001</v>
      </c>
      <c r="AH190" s="454">
        <f t="shared" si="0"/>
        <v>33381.0648</v>
      </c>
      <c r="AI190" s="454">
        <f t="shared" si="0"/>
        <v>33907.4496</v>
      </c>
      <c r="AJ190" s="454">
        <f t="shared" si="0"/>
        <v>34718.846400000002</v>
      </c>
      <c r="AK190" s="454">
        <f t="shared" si="0"/>
        <v>35267.155200000001</v>
      </c>
      <c r="AL190" s="454">
        <f t="shared" si="0"/>
        <v>35815.464</v>
      </c>
      <c r="AM190" s="454">
        <f t="shared" si="0"/>
        <v>36363.772800000006</v>
      </c>
      <c r="AN190" s="454">
        <f t="shared" si="0"/>
        <v>37175.378400000001</v>
      </c>
      <c r="AO190" s="454">
        <f t="shared" si="0"/>
        <v>37175.378400000001</v>
      </c>
      <c r="AP190" s="454">
        <f t="shared" si="0"/>
        <v>37175.378400000001</v>
      </c>
      <c r="AQ190" s="454">
        <f t="shared" si="0"/>
        <v>37175.378400000001</v>
      </c>
      <c r="AR190" s="454">
        <f t="shared" si="0"/>
        <v>37701.763200000001</v>
      </c>
    </row>
    <row r="191" spans="1:44" ht="15" customHeight="1" x14ac:dyDescent="0.35">
      <c r="A191" s="305"/>
      <c r="B191" s="440">
        <v>13.6447</v>
      </c>
      <c r="C191" s="441">
        <v>13.9178</v>
      </c>
      <c r="D191" s="441">
        <v>14.327500000000001</v>
      </c>
      <c r="E191" s="441">
        <v>14.6006</v>
      </c>
      <c r="F191" s="441">
        <v>14.873699999999999</v>
      </c>
      <c r="G191" s="441">
        <v>15.146800000000001</v>
      </c>
      <c r="H191" s="441">
        <v>15.5564</v>
      </c>
      <c r="I191" s="441">
        <v>15.829499999999999</v>
      </c>
      <c r="J191" s="441">
        <v>16.102599999999999</v>
      </c>
      <c r="K191" s="441">
        <v>16.5123</v>
      </c>
      <c r="L191" s="441">
        <v>16.785399999999999</v>
      </c>
      <c r="M191" s="441">
        <v>17.058499999999999</v>
      </c>
      <c r="N191" s="441">
        <v>17.4682</v>
      </c>
      <c r="O191" s="441">
        <v>17.741299999999999</v>
      </c>
      <c r="P191" s="441">
        <v>18.003900000000002</v>
      </c>
      <c r="Q191" s="441">
        <v>18.277000000000001</v>
      </c>
      <c r="R191" s="441">
        <v>18.686599999999999</v>
      </c>
      <c r="S191" s="441">
        <v>18.686599999999999</v>
      </c>
      <c r="T191" s="441">
        <v>18.686599999999999</v>
      </c>
      <c r="U191" s="441">
        <v>18.686599999999999</v>
      </c>
      <c r="V191" s="442">
        <v>18.959700000000002</v>
      </c>
      <c r="W191" s="435">
        <v>6</v>
      </c>
      <c r="X191" s="454">
        <f t="shared" si="1"/>
        <v>28490.133600000001</v>
      </c>
      <c r="Y191" s="454">
        <f t="shared" si="0"/>
        <v>29060.366399999999</v>
      </c>
      <c r="Z191" s="454">
        <f t="shared" si="0"/>
        <v>29915.82</v>
      </c>
      <c r="AA191" s="454">
        <f t="shared" si="0"/>
        <v>30486.052800000001</v>
      </c>
      <c r="AB191" s="454">
        <f t="shared" si="0"/>
        <v>31056.285599999999</v>
      </c>
      <c r="AC191" s="454">
        <f t="shared" si="0"/>
        <v>31626.518400000001</v>
      </c>
      <c r="AD191" s="454">
        <f t="shared" si="0"/>
        <v>32481.763200000001</v>
      </c>
      <c r="AE191" s="454">
        <f t="shared" si="0"/>
        <v>33051.995999999999</v>
      </c>
      <c r="AF191" s="454">
        <f t="shared" si="0"/>
        <v>33622.228799999997</v>
      </c>
      <c r="AG191" s="454">
        <f t="shared" si="0"/>
        <v>34477.682399999998</v>
      </c>
      <c r="AH191" s="454">
        <f t="shared" si="0"/>
        <v>35047.915199999996</v>
      </c>
      <c r="AI191" s="454">
        <f t="shared" si="0"/>
        <v>35618.147999999994</v>
      </c>
      <c r="AJ191" s="454">
        <f t="shared" si="0"/>
        <v>36473.601600000002</v>
      </c>
      <c r="AK191" s="454">
        <f t="shared" si="0"/>
        <v>37043.8344</v>
      </c>
      <c r="AL191" s="454">
        <f t="shared" si="0"/>
        <v>37592.143200000006</v>
      </c>
      <c r="AM191" s="454">
        <f t="shared" si="0"/>
        <v>38162.376000000004</v>
      </c>
      <c r="AN191" s="454">
        <f t="shared" si="0"/>
        <v>39017.620799999997</v>
      </c>
      <c r="AO191" s="454">
        <f t="shared" si="0"/>
        <v>39017.620799999997</v>
      </c>
      <c r="AP191" s="454">
        <f t="shared" si="0"/>
        <v>39017.620799999997</v>
      </c>
      <c r="AQ191" s="454">
        <f t="shared" si="0"/>
        <v>39017.620799999997</v>
      </c>
      <c r="AR191" s="454">
        <f t="shared" si="0"/>
        <v>39587.853600000002</v>
      </c>
    </row>
    <row r="192" spans="1:44" ht="15" customHeight="1" x14ac:dyDescent="0.35">
      <c r="A192" s="305"/>
      <c r="B192" s="440">
        <v>15.010199999999999</v>
      </c>
      <c r="C192" s="441">
        <v>15.3043</v>
      </c>
      <c r="D192" s="441">
        <v>15.756</v>
      </c>
      <c r="E192" s="441">
        <v>16.060600000000001</v>
      </c>
      <c r="F192" s="441">
        <v>16.354700000000001</v>
      </c>
      <c r="G192" s="441">
        <v>16.659300000000002</v>
      </c>
      <c r="H192" s="441">
        <v>17.111000000000001</v>
      </c>
      <c r="I192" s="441">
        <v>17.405100000000001</v>
      </c>
      <c r="J192" s="441">
        <v>17.709700000000002</v>
      </c>
      <c r="K192" s="441">
        <v>18.1614</v>
      </c>
      <c r="L192" s="441">
        <v>18.455500000000001</v>
      </c>
      <c r="M192" s="441">
        <v>18.760100000000001</v>
      </c>
      <c r="N192" s="441">
        <v>19.2118</v>
      </c>
      <c r="O192" s="441">
        <v>19.5059</v>
      </c>
      <c r="P192" s="441">
        <v>19.810500000000001</v>
      </c>
      <c r="Q192" s="441">
        <v>20.115200000000002</v>
      </c>
      <c r="R192" s="441">
        <v>20.5563</v>
      </c>
      <c r="S192" s="441">
        <v>20.5563</v>
      </c>
      <c r="T192" s="441">
        <v>20.5563</v>
      </c>
      <c r="U192" s="441">
        <v>20.5563</v>
      </c>
      <c r="V192" s="442">
        <v>20.860900000000001</v>
      </c>
      <c r="W192" s="435">
        <v>7</v>
      </c>
      <c r="X192" s="454">
        <f t="shared" si="1"/>
        <v>31341.297599999998</v>
      </c>
      <c r="Y192" s="454">
        <f t="shared" si="0"/>
        <v>31955.378399999998</v>
      </c>
      <c r="Z192" s="454">
        <f t="shared" si="0"/>
        <v>32898.527999999998</v>
      </c>
      <c r="AA192" s="454">
        <f t="shared" si="0"/>
        <v>33534.532800000001</v>
      </c>
      <c r="AB192" s="454">
        <f t="shared" si="0"/>
        <v>34148.613600000004</v>
      </c>
      <c r="AC192" s="454">
        <f t="shared" si="0"/>
        <v>34784.618400000007</v>
      </c>
      <c r="AD192" s="454">
        <f t="shared" si="0"/>
        <v>35727.768000000004</v>
      </c>
      <c r="AE192" s="454">
        <f t="shared" si="0"/>
        <v>36341.8488</v>
      </c>
      <c r="AF192" s="454">
        <f t="shared" si="0"/>
        <v>36977.853600000002</v>
      </c>
      <c r="AG192" s="454">
        <f t="shared" si="0"/>
        <v>37921.003199999999</v>
      </c>
      <c r="AH192" s="454">
        <f t="shared" si="0"/>
        <v>38535.084000000003</v>
      </c>
      <c r="AI192" s="454">
        <f t="shared" si="0"/>
        <v>39171.088800000005</v>
      </c>
      <c r="AJ192" s="454">
        <f t="shared" si="0"/>
        <v>40114.238400000002</v>
      </c>
      <c r="AK192" s="454">
        <f t="shared" si="0"/>
        <v>40728.319199999998</v>
      </c>
      <c r="AL192" s="454">
        <f t="shared" si="0"/>
        <v>41364.324000000001</v>
      </c>
      <c r="AM192" s="454">
        <f t="shared" si="0"/>
        <v>42000.537600000003</v>
      </c>
      <c r="AN192" s="454">
        <f t="shared" si="0"/>
        <v>42921.554400000001</v>
      </c>
      <c r="AO192" s="454">
        <f t="shared" si="0"/>
        <v>42921.554400000001</v>
      </c>
      <c r="AP192" s="454">
        <f t="shared" si="0"/>
        <v>42921.554400000001</v>
      </c>
      <c r="AQ192" s="454">
        <f t="shared" si="0"/>
        <v>42921.554400000001</v>
      </c>
      <c r="AR192" s="454">
        <f t="shared" si="0"/>
        <v>43557.559200000003</v>
      </c>
    </row>
    <row r="193" spans="1:44" ht="15" customHeight="1" x14ac:dyDescent="0.35">
      <c r="A193" s="305"/>
      <c r="B193" s="440">
        <v>15.3043</v>
      </c>
      <c r="C193" s="441">
        <v>15.6089</v>
      </c>
      <c r="D193" s="441">
        <v>16.071100000000001</v>
      </c>
      <c r="E193" s="441">
        <v>16.375699999999998</v>
      </c>
      <c r="F193" s="441">
        <v>16.680399999999999</v>
      </c>
      <c r="G193" s="441">
        <v>16.9955</v>
      </c>
      <c r="H193" s="441">
        <v>17.447099999999999</v>
      </c>
      <c r="I193" s="441">
        <v>17.751799999999999</v>
      </c>
      <c r="J193" s="441">
        <v>18.0669</v>
      </c>
      <c r="K193" s="441">
        <v>18.518599999999999</v>
      </c>
      <c r="L193" s="441">
        <v>18.8232</v>
      </c>
      <c r="M193" s="441">
        <v>19.138300000000001</v>
      </c>
      <c r="N193" s="441">
        <v>19.59</v>
      </c>
      <c r="O193" s="441">
        <v>19.905100000000001</v>
      </c>
      <c r="P193" s="441">
        <v>20.209700000000002</v>
      </c>
      <c r="Q193" s="441">
        <v>20.514299999999999</v>
      </c>
      <c r="R193" s="441">
        <v>20.976500000000001</v>
      </c>
      <c r="S193" s="441">
        <v>20.976500000000001</v>
      </c>
      <c r="T193" s="441">
        <v>20.976500000000001</v>
      </c>
      <c r="U193" s="441">
        <v>20.976500000000001</v>
      </c>
      <c r="V193" s="442">
        <v>21.281099999999999</v>
      </c>
      <c r="W193" s="435">
        <v>8</v>
      </c>
      <c r="X193" s="454">
        <f t="shared" si="1"/>
        <v>31955.378399999998</v>
      </c>
      <c r="Y193" s="454">
        <f t="shared" si="0"/>
        <v>32591.3832</v>
      </c>
      <c r="Z193" s="454">
        <f t="shared" si="0"/>
        <v>33556.4568</v>
      </c>
      <c r="AA193" s="454">
        <f t="shared" si="0"/>
        <v>34192.461599999995</v>
      </c>
      <c r="AB193" s="454">
        <f t="shared" si="0"/>
        <v>34828.675199999998</v>
      </c>
      <c r="AC193" s="454">
        <f t="shared" si="0"/>
        <v>35486.603999999999</v>
      </c>
      <c r="AD193" s="454">
        <f t="shared" si="0"/>
        <v>36429.544799999996</v>
      </c>
      <c r="AE193" s="454">
        <f t="shared" si="0"/>
        <v>37065.758399999999</v>
      </c>
      <c r="AF193" s="454">
        <f t="shared" si="0"/>
        <v>37723.6872</v>
      </c>
      <c r="AG193" s="454">
        <f t="shared" si="0"/>
        <v>38666.836799999997</v>
      </c>
      <c r="AH193" s="454">
        <f t="shared" si="0"/>
        <v>39302.8416</v>
      </c>
      <c r="AI193" s="454">
        <f t="shared" si="0"/>
        <v>39960.770400000001</v>
      </c>
      <c r="AJ193" s="454">
        <f t="shared" si="0"/>
        <v>40903.919999999998</v>
      </c>
      <c r="AK193" s="454">
        <f t="shared" si="0"/>
        <v>41561.8488</v>
      </c>
      <c r="AL193" s="454">
        <f t="shared" si="0"/>
        <v>42197.853600000002</v>
      </c>
      <c r="AM193" s="454">
        <f t="shared" si="0"/>
        <v>42833.858399999997</v>
      </c>
      <c r="AN193" s="454">
        <f t="shared" si="0"/>
        <v>43798.932000000001</v>
      </c>
      <c r="AO193" s="454">
        <f t="shared" si="0"/>
        <v>43798.932000000001</v>
      </c>
      <c r="AP193" s="454">
        <f t="shared" si="0"/>
        <v>43798.932000000001</v>
      </c>
      <c r="AQ193" s="454">
        <f t="shared" si="0"/>
        <v>43798.932000000001</v>
      </c>
      <c r="AR193" s="454">
        <f t="shared" si="0"/>
        <v>44434.936799999996</v>
      </c>
    </row>
    <row r="194" spans="1:44" ht="15" customHeight="1" x14ac:dyDescent="0.35">
      <c r="A194" s="305"/>
      <c r="B194" s="440">
        <v>16.2287</v>
      </c>
      <c r="C194" s="441">
        <v>16.554300000000001</v>
      </c>
      <c r="D194" s="441">
        <v>17.037500000000001</v>
      </c>
      <c r="E194" s="441">
        <v>17.363099999999999</v>
      </c>
      <c r="F194" s="441">
        <v>17.688700000000001</v>
      </c>
      <c r="G194" s="441">
        <v>18.014399999999998</v>
      </c>
      <c r="H194" s="441">
        <v>18.497499999999999</v>
      </c>
      <c r="I194" s="441">
        <v>18.8232</v>
      </c>
      <c r="J194" s="441">
        <v>19.148800000000001</v>
      </c>
      <c r="K194" s="441">
        <v>19.632000000000001</v>
      </c>
      <c r="L194" s="441">
        <v>19.957599999999999</v>
      </c>
      <c r="M194" s="441">
        <v>20.283200000000001</v>
      </c>
      <c r="N194" s="441">
        <v>20.766400000000001</v>
      </c>
      <c r="O194" s="441">
        <v>21.091999999999999</v>
      </c>
      <c r="P194" s="441">
        <v>21.4177</v>
      </c>
      <c r="Q194" s="441">
        <v>21.743300000000001</v>
      </c>
      <c r="R194" s="441">
        <v>22.226500000000001</v>
      </c>
      <c r="S194" s="441">
        <v>22.226500000000001</v>
      </c>
      <c r="T194" s="441">
        <v>22.226500000000001</v>
      </c>
      <c r="U194" s="441">
        <v>22.226500000000001</v>
      </c>
      <c r="V194" s="442">
        <v>22.552099999999999</v>
      </c>
      <c r="W194" s="435">
        <v>9</v>
      </c>
      <c r="X194" s="454">
        <f t="shared" si="1"/>
        <v>33885.525600000001</v>
      </c>
      <c r="Y194" s="454">
        <f t="shared" si="0"/>
        <v>34565.378400000001</v>
      </c>
      <c r="Z194" s="454">
        <f t="shared" si="0"/>
        <v>35574.300000000003</v>
      </c>
      <c r="AA194" s="454">
        <f t="shared" si="0"/>
        <v>36254.152799999996</v>
      </c>
      <c r="AB194" s="454">
        <f t="shared" si="0"/>
        <v>36934.005600000004</v>
      </c>
      <c r="AC194" s="454">
        <f t="shared" si="0"/>
        <v>37614.067199999998</v>
      </c>
      <c r="AD194" s="454">
        <f t="shared" si="0"/>
        <v>38622.78</v>
      </c>
      <c r="AE194" s="454">
        <f t="shared" si="0"/>
        <v>39302.8416</v>
      </c>
      <c r="AF194" s="454">
        <f t="shared" si="0"/>
        <v>39982.6944</v>
      </c>
      <c r="AG194" s="454">
        <f t="shared" si="0"/>
        <v>40991.616000000002</v>
      </c>
      <c r="AH194" s="454">
        <f t="shared" si="0"/>
        <v>41671.468799999995</v>
      </c>
      <c r="AI194" s="454">
        <f t="shared" si="0"/>
        <v>42351.321600000003</v>
      </c>
      <c r="AJ194" s="454">
        <f t="shared" si="0"/>
        <v>43360.243200000004</v>
      </c>
      <c r="AK194" s="454">
        <f t="shared" si="0"/>
        <v>44040.095999999998</v>
      </c>
      <c r="AL194" s="454">
        <f t="shared" si="0"/>
        <v>44720.157599999999</v>
      </c>
      <c r="AM194" s="454">
        <f t="shared" si="0"/>
        <v>45400.010400000006</v>
      </c>
      <c r="AN194" s="454">
        <f t="shared" si="0"/>
        <v>46408.932000000001</v>
      </c>
      <c r="AO194" s="454">
        <f t="shared" si="0"/>
        <v>46408.932000000001</v>
      </c>
      <c r="AP194" s="454">
        <f t="shared" si="0"/>
        <v>46408.932000000001</v>
      </c>
      <c r="AQ194" s="454">
        <f t="shared" si="0"/>
        <v>46408.932000000001</v>
      </c>
      <c r="AR194" s="454">
        <f t="shared" si="0"/>
        <v>47088.784800000001</v>
      </c>
    </row>
    <row r="195" spans="1:44" ht="15" customHeight="1" x14ac:dyDescent="0.35">
      <c r="A195" s="305"/>
      <c r="B195" s="440">
        <v>16.554300000000001</v>
      </c>
      <c r="C195" s="441">
        <v>16.879899999999999</v>
      </c>
      <c r="D195" s="441">
        <v>17.3736</v>
      </c>
      <c r="E195" s="441">
        <v>17.709700000000002</v>
      </c>
      <c r="F195" s="441">
        <v>18.035399999999999</v>
      </c>
      <c r="G195" s="441">
        <v>18.371500000000001</v>
      </c>
      <c r="H195" s="441">
        <v>18.865200000000002</v>
      </c>
      <c r="I195" s="441">
        <v>19.2013</v>
      </c>
      <c r="J195" s="441">
        <v>19.526900000000001</v>
      </c>
      <c r="K195" s="441">
        <v>20.031099999999999</v>
      </c>
      <c r="L195" s="441">
        <v>20.3568</v>
      </c>
      <c r="M195" s="441">
        <v>20.692900000000002</v>
      </c>
      <c r="N195" s="441">
        <v>21.186599999999999</v>
      </c>
      <c r="O195" s="441">
        <v>21.5122</v>
      </c>
      <c r="P195" s="441">
        <v>21.848299999999998</v>
      </c>
      <c r="Q195" s="441">
        <v>22.1739</v>
      </c>
      <c r="R195" s="441">
        <v>22.678100000000001</v>
      </c>
      <c r="S195" s="441">
        <v>22.678100000000001</v>
      </c>
      <c r="T195" s="441">
        <v>22.678100000000001</v>
      </c>
      <c r="U195" s="441">
        <v>22.678100000000001</v>
      </c>
      <c r="V195" s="442">
        <v>23.003799999999998</v>
      </c>
      <c r="W195" s="435">
        <v>10</v>
      </c>
      <c r="X195" s="454">
        <f t="shared" si="1"/>
        <v>34565.378400000001</v>
      </c>
      <c r="Y195" s="454">
        <f t="shared" si="0"/>
        <v>35245.231200000002</v>
      </c>
      <c r="Z195" s="454">
        <f t="shared" si="0"/>
        <v>36276.076800000003</v>
      </c>
      <c r="AA195" s="454">
        <f t="shared" si="0"/>
        <v>36977.853600000002</v>
      </c>
      <c r="AB195" s="454">
        <f t="shared" si="0"/>
        <v>37657.915199999996</v>
      </c>
      <c r="AC195" s="454">
        <f t="shared" si="0"/>
        <v>38359.692000000003</v>
      </c>
      <c r="AD195" s="454">
        <f t="shared" si="0"/>
        <v>39390.537600000003</v>
      </c>
      <c r="AE195" s="454">
        <f t="shared" si="0"/>
        <v>40092.314400000003</v>
      </c>
      <c r="AF195" s="454">
        <f t="shared" si="0"/>
        <v>40772.167200000004</v>
      </c>
      <c r="AG195" s="454">
        <f t="shared" si="0"/>
        <v>41824.936799999996</v>
      </c>
      <c r="AH195" s="454">
        <f t="shared" si="0"/>
        <v>42504.998399999997</v>
      </c>
      <c r="AI195" s="454">
        <f t="shared" si="0"/>
        <v>43206.775200000004</v>
      </c>
      <c r="AJ195" s="454">
        <f t="shared" si="0"/>
        <v>44237.620799999997</v>
      </c>
      <c r="AK195" s="454">
        <f t="shared" si="0"/>
        <v>44917.473599999998</v>
      </c>
      <c r="AL195" s="454">
        <f t="shared" si="0"/>
        <v>45619.250399999997</v>
      </c>
      <c r="AM195" s="454">
        <f t="shared" si="0"/>
        <v>46299.103199999998</v>
      </c>
      <c r="AN195" s="454">
        <f t="shared" si="0"/>
        <v>47351.872800000005</v>
      </c>
      <c r="AO195" s="454">
        <f t="shared" si="0"/>
        <v>47351.872800000005</v>
      </c>
      <c r="AP195" s="454">
        <f t="shared" si="0"/>
        <v>47351.872800000005</v>
      </c>
      <c r="AQ195" s="454">
        <f t="shared" si="0"/>
        <v>47351.872800000005</v>
      </c>
      <c r="AR195" s="454">
        <f t="shared" si="0"/>
        <v>48031.934399999998</v>
      </c>
    </row>
    <row r="196" spans="1:44" ht="15" customHeight="1" x14ac:dyDescent="0.35">
      <c r="A196" s="305"/>
      <c r="B196" s="440">
        <v>16.879899999999999</v>
      </c>
      <c r="C196" s="441">
        <v>17.216100000000001</v>
      </c>
      <c r="D196" s="441">
        <v>17.730799999999999</v>
      </c>
      <c r="E196" s="441">
        <v>18.0669</v>
      </c>
      <c r="F196" s="441">
        <v>18.402999999999999</v>
      </c>
      <c r="G196" s="441">
        <v>18.739100000000001</v>
      </c>
      <c r="H196" s="441">
        <v>19.243300000000001</v>
      </c>
      <c r="I196" s="441">
        <v>19.579499999999999</v>
      </c>
      <c r="J196" s="441">
        <v>19.915600000000001</v>
      </c>
      <c r="K196" s="441">
        <v>20.430299999999999</v>
      </c>
      <c r="L196" s="441">
        <v>20.766400000000001</v>
      </c>
      <c r="M196" s="441">
        <v>21.102499999999999</v>
      </c>
      <c r="N196" s="441">
        <v>21.6067</v>
      </c>
      <c r="O196" s="441">
        <v>21.942900000000002</v>
      </c>
      <c r="P196" s="441">
        <v>22.279</v>
      </c>
      <c r="Q196" s="441">
        <v>22.625599999999999</v>
      </c>
      <c r="R196" s="441">
        <v>23.129799999999999</v>
      </c>
      <c r="S196" s="441">
        <v>23.129799999999999</v>
      </c>
      <c r="T196" s="441">
        <v>23.129799999999999</v>
      </c>
      <c r="U196" s="441">
        <v>23.129799999999999</v>
      </c>
      <c r="V196" s="442">
        <v>23.465900000000001</v>
      </c>
      <c r="W196" s="435">
        <v>11</v>
      </c>
      <c r="X196" s="454">
        <f t="shared" si="1"/>
        <v>35245.231200000002</v>
      </c>
      <c r="Y196" s="454">
        <f t="shared" si="0"/>
        <v>35947.216800000002</v>
      </c>
      <c r="Z196" s="454">
        <f t="shared" si="0"/>
        <v>37021.910399999993</v>
      </c>
      <c r="AA196" s="454">
        <f t="shared" si="0"/>
        <v>37723.6872</v>
      </c>
      <c r="AB196" s="454">
        <f t="shared" si="0"/>
        <v>38425.464</v>
      </c>
      <c r="AC196" s="454">
        <f t="shared" si="0"/>
        <v>39127.2408</v>
      </c>
      <c r="AD196" s="454">
        <f t="shared" si="0"/>
        <v>40180.010400000006</v>
      </c>
      <c r="AE196" s="454">
        <f t="shared" si="0"/>
        <v>40881.995999999999</v>
      </c>
      <c r="AF196" s="454">
        <f t="shared" si="0"/>
        <v>41583.772800000006</v>
      </c>
      <c r="AG196" s="454">
        <f t="shared" si="0"/>
        <v>42658.466399999998</v>
      </c>
      <c r="AH196" s="454">
        <f t="shared" si="0"/>
        <v>43360.243200000004</v>
      </c>
      <c r="AI196" s="454">
        <f t="shared" si="0"/>
        <v>44062.02</v>
      </c>
      <c r="AJ196" s="454">
        <f t="shared" si="0"/>
        <v>45114.789599999996</v>
      </c>
      <c r="AK196" s="454">
        <f t="shared" si="0"/>
        <v>45816.775200000004</v>
      </c>
      <c r="AL196" s="454">
        <f t="shared" si="0"/>
        <v>46518.552000000003</v>
      </c>
      <c r="AM196" s="454">
        <f t="shared" si="0"/>
        <v>47242.252799999995</v>
      </c>
      <c r="AN196" s="454">
        <f t="shared" si="0"/>
        <v>48295.022400000002</v>
      </c>
      <c r="AO196" s="454">
        <f t="shared" si="0"/>
        <v>48295.022400000002</v>
      </c>
      <c r="AP196" s="454">
        <f t="shared" si="0"/>
        <v>48295.022400000002</v>
      </c>
      <c r="AQ196" s="454">
        <f t="shared" si="0"/>
        <v>48295.022400000002</v>
      </c>
      <c r="AR196" s="454">
        <f t="shared" si="0"/>
        <v>48996.799200000001</v>
      </c>
    </row>
    <row r="197" spans="1:44" ht="15" customHeight="1" x14ac:dyDescent="0.35">
      <c r="A197" s="305"/>
      <c r="B197" s="440">
        <v>17.730799999999999</v>
      </c>
      <c r="C197" s="441">
        <v>18.077400000000001</v>
      </c>
      <c r="D197" s="441">
        <v>18.613099999999999</v>
      </c>
      <c r="E197" s="441">
        <v>18.970199999999998</v>
      </c>
      <c r="F197" s="441">
        <v>19.3169</v>
      </c>
      <c r="G197" s="441">
        <v>19.673999999999999</v>
      </c>
      <c r="H197" s="441">
        <v>20.209700000000002</v>
      </c>
      <c r="I197" s="441">
        <v>20.566800000000001</v>
      </c>
      <c r="J197" s="441">
        <v>20.913499999999999</v>
      </c>
      <c r="K197" s="441">
        <v>21.449200000000001</v>
      </c>
      <c r="L197" s="441">
        <v>21.8063</v>
      </c>
      <c r="M197" s="441">
        <v>22.152899999999999</v>
      </c>
      <c r="N197" s="441">
        <v>22.688600000000001</v>
      </c>
      <c r="O197" s="441">
        <v>23.0458</v>
      </c>
      <c r="P197" s="441">
        <v>23.402899999999999</v>
      </c>
      <c r="Q197" s="441">
        <v>23.749500000000001</v>
      </c>
      <c r="R197" s="441">
        <v>24.2852</v>
      </c>
      <c r="S197" s="441">
        <v>24.2852</v>
      </c>
      <c r="T197" s="441">
        <v>24.2852</v>
      </c>
      <c r="U197" s="441">
        <v>24.2852</v>
      </c>
      <c r="V197" s="442">
        <v>24.642399999999999</v>
      </c>
      <c r="W197" s="435">
        <v>12</v>
      </c>
      <c r="X197" s="454">
        <f t="shared" si="1"/>
        <v>37021.910399999993</v>
      </c>
      <c r="Y197" s="454">
        <f t="shared" si="0"/>
        <v>37745.611199999999</v>
      </c>
      <c r="Z197" s="454">
        <f t="shared" si="0"/>
        <v>38864.152799999996</v>
      </c>
      <c r="AA197" s="454">
        <f t="shared" si="0"/>
        <v>39609.777599999994</v>
      </c>
      <c r="AB197" s="454">
        <f t="shared" si="0"/>
        <v>40333.6872</v>
      </c>
      <c r="AC197" s="454">
        <f t="shared" si="0"/>
        <v>41079.311999999998</v>
      </c>
      <c r="AD197" s="454">
        <f t="shared" si="0"/>
        <v>42197.853600000002</v>
      </c>
      <c r="AE197" s="454">
        <f t="shared" si="0"/>
        <v>42943.4784</v>
      </c>
      <c r="AF197" s="454">
        <f t="shared" si="0"/>
        <v>43667.387999999999</v>
      </c>
      <c r="AG197" s="454">
        <f t="shared" si="0"/>
        <v>44785.929600000003</v>
      </c>
      <c r="AH197" s="454">
        <f t="shared" si="0"/>
        <v>45531.554400000001</v>
      </c>
      <c r="AI197" s="454">
        <f t="shared" si="0"/>
        <v>46255.2552</v>
      </c>
      <c r="AJ197" s="454">
        <f t="shared" si="0"/>
        <v>47373.796800000004</v>
      </c>
      <c r="AK197" s="454">
        <f t="shared" si="0"/>
        <v>48119.630400000002</v>
      </c>
      <c r="AL197" s="454">
        <f t="shared" si="0"/>
        <v>48865.2552</v>
      </c>
      <c r="AM197" s="454">
        <f t="shared" si="0"/>
        <v>49588.956000000006</v>
      </c>
      <c r="AN197" s="454">
        <f t="shared" si="0"/>
        <v>50707.497600000002</v>
      </c>
      <c r="AO197" s="454">
        <f t="shared" si="0"/>
        <v>50707.497600000002</v>
      </c>
      <c r="AP197" s="454">
        <f t="shared" si="0"/>
        <v>50707.497600000002</v>
      </c>
      <c r="AQ197" s="454">
        <f t="shared" si="0"/>
        <v>50707.497600000002</v>
      </c>
      <c r="AR197" s="454">
        <f t="shared" si="0"/>
        <v>51453.331200000001</v>
      </c>
    </row>
    <row r="198" spans="1:44" ht="15" customHeight="1" x14ac:dyDescent="0.35">
      <c r="A198" s="305"/>
      <c r="B198" s="440">
        <v>18.171900000000001</v>
      </c>
      <c r="C198" s="441">
        <v>18.5291</v>
      </c>
      <c r="D198" s="441">
        <v>19.075299999999999</v>
      </c>
      <c r="E198" s="441">
        <v>19.442900000000002</v>
      </c>
      <c r="F198" s="441">
        <v>19.8</v>
      </c>
      <c r="G198" s="441">
        <v>20.1677</v>
      </c>
      <c r="H198" s="441">
        <v>20.713899999999999</v>
      </c>
      <c r="I198" s="441">
        <v>21.071000000000002</v>
      </c>
      <c r="J198" s="441">
        <v>21.438700000000001</v>
      </c>
      <c r="K198" s="441">
        <v>21.9849</v>
      </c>
      <c r="L198" s="441">
        <v>22.352499999999999</v>
      </c>
      <c r="M198" s="441">
        <v>22.709599999999998</v>
      </c>
      <c r="N198" s="441">
        <v>23.2559</v>
      </c>
      <c r="O198" s="441">
        <v>23.6235</v>
      </c>
      <c r="P198" s="441">
        <v>23.980599999999999</v>
      </c>
      <c r="Q198" s="441">
        <v>24.348299999999998</v>
      </c>
      <c r="R198" s="441">
        <v>24.894500000000001</v>
      </c>
      <c r="S198" s="441">
        <v>24.894500000000001</v>
      </c>
      <c r="T198" s="441">
        <v>24.894500000000001</v>
      </c>
      <c r="U198" s="441">
        <v>24.894500000000001</v>
      </c>
      <c r="V198" s="442">
        <v>25.2516</v>
      </c>
      <c r="W198" s="435">
        <v>13</v>
      </c>
      <c r="X198" s="454">
        <f t="shared" si="1"/>
        <v>37942.927199999998</v>
      </c>
      <c r="Y198" s="454">
        <f t="shared" si="0"/>
        <v>38688.760799999996</v>
      </c>
      <c r="Z198" s="454">
        <f t="shared" si="0"/>
        <v>39829.2264</v>
      </c>
      <c r="AA198" s="454">
        <f t="shared" si="0"/>
        <v>40596.775200000004</v>
      </c>
      <c r="AB198" s="454">
        <f t="shared" si="0"/>
        <v>41342.400000000001</v>
      </c>
      <c r="AC198" s="454">
        <f t="shared" si="0"/>
        <v>42110.157599999999</v>
      </c>
      <c r="AD198" s="454">
        <f t="shared" si="0"/>
        <v>43250.623199999995</v>
      </c>
      <c r="AE198" s="454">
        <f t="shared" si="0"/>
        <v>43996.248</v>
      </c>
      <c r="AF198" s="454">
        <f t="shared" si="0"/>
        <v>44764.005600000004</v>
      </c>
      <c r="AG198" s="454">
        <f t="shared" si="0"/>
        <v>45904.4712</v>
      </c>
      <c r="AH198" s="454">
        <f t="shared" si="0"/>
        <v>46672.02</v>
      </c>
      <c r="AI198" s="454">
        <f t="shared" si="0"/>
        <v>47417.644799999995</v>
      </c>
      <c r="AJ198" s="454">
        <f t="shared" si="0"/>
        <v>48558.319199999998</v>
      </c>
      <c r="AK198" s="454">
        <f t="shared" si="0"/>
        <v>49325.868000000002</v>
      </c>
      <c r="AL198" s="454">
        <f t="shared" si="0"/>
        <v>50071.4928</v>
      </c>
      <c r="AM198" s="454">
        <f t="shared" si="0"/>
        <v>50839.250399999997</v>
      </c>
      <c r="AN198" s="454">
        <f t="shared" ref="AN198:AR223" si="2">R198*261*8</f>
        <v>51979.716</v>
      </c>
      <c r="AO198" s="454">
        <f t="shared" si="2"/>
        <v>51979.716</v>
      </c>
      <c r="AP198" s="454">
        <f t="shared" si="2"/>
        <v>51979.716</v>
      </c>
      <c r="AQ198" s="454">
        <f t="shared" si="2"/>
        <v>51979.716</v>
      </c>
      <c r="AR198" s="454">
        <f t="shared" si="2"/>
        <v>52725.340799999998</v>
      </c>
    </row>
    <row r="199" spans="1:44" ht="15" customHeight="1" x14ac:dyDescent="0.35">
      <c r="A199" s="305"/>
      <c r="B199" s="440">
        <v>18.6236</v>
      </c>
      <c r="C199" s="441">
        <v>18.991199999999999</v>
      </c>
      <c r="D199" s="441">
        <v>19.558399999999999</v>
      </c>
      <c r="E199" s="441">
        <v>19.926100000000002</v>
      </c>
      <c r="F199" s="441">
        <v>20.304200000000002</v>
      </c>
      <c r="G199" s="441">
        <v>20.671900000000001</v>
      </c>
      <c r="H199" s="441">
        <v>21.2286</v>
      </c>
      <c r="I199" s="441">
        <v>21.6067</v>
      </c>
      <c r="J199" s="441">
        <v>21.974399999999999</v>
      </c>
      <c r="K199" s="441">
        <v>22.531099999999999</v>
      </c>
      <c r="L199" s="441">
        <v>22.909199999999998</v>
      </c>
      <c r="M199" s="441">
        <v>23.276900000000001</v>
      </c>
      <c r="N199" s="441">
        <v>23.833600000000001</v>
      </c>
      <c r="O199" s="441">
        <v>24.2117</v>
      </c>
      <c r="P199" s="441">
        <v>24.5794</v>
      </c>
      <c r="Q199" s="441">
        <v>24.9575</v>
      </c>
      <c r="R199" s="441">
        <v>25.514199999999999</v>
      </c>
      <c r="S199" s="441">
        <v>25.514199999999999</v>
      </c>
      <c r="T199" s="441">
        <v>25.514199999999999</v>
      </c>
      <c r="U199" s="441">
        <v>25.514199999999999</v>
      </c>
      <c r="V199" s="442">
        <v>25.881900000000002</v>
      </c>
      <c r="W199" s="435">
        <v>14</v>
      </c>
      <c r="X199" s="454">
        <f t="shared" si="1"/>
        <v>38886.076800000003</v>
      </c>
      <c r="Y199" s="454">
        <f t="shared" si="1"/>
        <v>39653.625599999999</v>
      </c>
      <c r="Z199" s="454">
        <f t="shared" si="1"/>
        <v>40837.939200000001</v>
      </c>
      <c r="AA199" s="454">
        <f t="shared" si="1"/>
        <v>41605.696800000005</v>
      </c>
      <c r="AB199" s="454">
        <f t="shared" si="1"/>
        <v>42395.169600000001</v>
      </c>
      <c r="AC199" s="454">
        <f t="shared" si="1"/>
        <v>43162.927199999998</v>
      </c>
      <c r="AD199" s="454">
        <f t="shared" si="1"/>
        <v>44325.316800000001</v>
      </c>
      <c r="AE199" s="454">
        <f t="shared" si="1"/>
        <v>45114.789599999996</v>
      </c>
      <c r="AF199" s="454">
        <f t="shared" si="1"/>
        <v>45882.547200000001</v>
      </c>
      <c r="AG199" s="454">
        <f t="shared" si="1"/>
        <v>47044.936799999996</v>
      </c>
      <c r="AH199" s="454">
        <f t="shared" si="1"/>
        <v>47834.409599999999</v>
      </c>
      <c r="AI199" s="454">
        <f t="shared" si="1"/>
        <v>48602.167200000004</v>
      </c>
      <c r="AJ199" s="454">
        <f t="shared" si="1"/>
        <v>49764.556799999998</v>
      </c>
      <c r="AK199" s="454">
        <f t="shared" si="1"/>
        <v>50554.029600000002</v>
      </c>
      <c r="AL199" s="454">
        <f t="shared" si="1"/>
        <v>51321.787199999999</v>
      </c>
      <c r="AM199" s="454">
        <f t="shared" si="1"/>
        <v>52111.26</v>
      </c>
      <c r="AN199" s="454">
        <f t="shared" si="2"/>
        <v>53273.649599999997</v>
      </c>
      <c r="AO199" s="454">
        <f t="shared" si="2"/>
        <v>53273.649599999997</v>
      </c>
      <c r="AP199" s="454">
        <f t="shared" si="2"/>
        <v>53273.649599999997</v>
      </c>
      <c r="AQ199" s="454">
        <f t="shared" si="2"/>
        <v>53273.649599999997</v>
      </c>
      <c r="AR199" s="454">
        <f t="shared" si="2"/>
        <v>54041.407200000001</v>
      </c>
    </row>
    <row r="200" spans="1:44" ht="15" customHeight="1" x14ac:dyDescent="0.35">
      <c r="A200" s="305"/>
      <c r="B200" s="440">
        <v>19.075299999999999</v>
      </c>
      <c r="C200" s="441">
        <v>19.463899999999999</v>
      </c>
      <c r="D200" s="441">
        <v>20.031099999999999</v>
      </c>
      <c r="E200" s="441">
        <v>20.409300000000002</v>
      </c>
      <c r="F200" s="441">
        <v>20.797899999999998</v>
      </c>
      <c r="G200" s="441">
        <v>21.176100000000002</v>
      </c>
      <c r="H200" s="441">
        <v>21.743300000000001</v>
      </c>
      <c r="I200" s="441">
        <v>22.131900000000002</v>
      </c>
      <c r="J200" s="441">
        <v>22.510100000000001</v>
      </c>
      <c r="K200" s="441">
        <v>23.087800000000001</v>
      </c>
      <c r="L200" s="441">
        <v>23.465900000000001</v>
      </c>
      <c r="M200" s="441">
        <v>23.844100000000001</v>
      </c>
      <c r="N200" s="441">
        <v>24.421800000000001</v>
      </c>
      <c r="O200" s="441">
        <v>24.799900000000001</v>
      </c>
      <c r="P200" s="441">
        <v>25.178100000000001</v>
      </c>
      <c r="Q200" s="441">
        <v>25.566700000000001</v>
      </c>
      <c r="R200" s="441">
        <v>26.134</v>
      </c>
      <c r="S200" s="441">
        <v>26.134</v>
      </c>
      <c r="T200" s="441">
        <v>26.134</v>
      </c>
      <c r="U200" s="441">
        <v>26.134</v>
      </c>
      <c r="V200" s="442">
        <v>26.522600000000001</v>
      </c>
      <c r="W200" s="435">
        <v>15</v>
      </c>
      <c r="X200" s="454">
        <f t="shared" si="1"/>
        <v>39829.2264</v>
      </c>
      <c r="Y200" s="454">
        <f t="shared" si="1"/>
        <v>40640.623199999995</v>
      </c>
      <c r="Z200" s="454">
        <f t="shared" si="1"/>
        <v>41824.936799999996</v>
      </c>
      <c r="AA200" s="454">
        <f t="shared" si="1"/>
        <v>42614.618400000007</v>
      </c>
      <c r="AB200" s="454">
        <f t="shared" si="1"/>
        <v>43426.015199999994</v>
      </c>
      <c r="AC200" s="454">
        <f t="shared" si="1"/>
        <v>44215.696800000005</v>
      </c>
      <c r="AD200" s="454">
        <f t="shared" si="1"/>
        <v>45400.010400000006</v>
      </c>
      <c r="AE200" s="454">
        <f t="shared" si="1"/>
        <v>46211.407200000001</v>
      </c>
      <c r="AF200" s="454">
        <f t="shared" si="1"/>
        <v>47001.088800000005</v>
      </c>
      <c r="AG200" s="454">
        <f t="shared" si="1"/>
        <v>48207.326400000005</v>
      </c>
      <c r="AH200" s="454">
        <f t="shared" si="1"/>
        <v>48996.799200000001</v>
      </c>
      <c r="AI200" s="454">
        <f t="shared" si="1"/>
        <v>49786.480800000005</v>
      </c>
      <c r="AJ200" s="454">
        <f t="shared" si="1"/>
        <v>50992.718400000005</v>
      </c>
      <c r="AK200" s="454">
        <f t="shared" si="1"/>
        <v>51782.191200000001</v>
      </c>
      <c r="AL200" s="454">
        <f t="shared" si="1"/>
        <v>52571.872800000005</v>
      </c>
      <c r="AM200" s="454">
        <f t="shared" si="1"/>
        <v>53383.2696</v>
      </c>
      <c r="AN200" s="454">
        <f t="shared" si="2"/>
        <v>54567.792000000001</v>
      </c>
      <c r="AO200" s="454">
        <f t="shared" si="2"/>
        <v>54567.792000000001</v>
      </c>
      <c r="AP200" s="454">
        <f t="shared" si="2"/>
        <v>54567.792000000001</v>
      </c>
      <c r="AQ200" s="454">
        <f t="shared" si="2"/>
        <v>54567.792000000001</v>
      </c>
      <c r="AR200" s="454">
        <f t="shared" si="2"/>
        <v>55379.188800000004</v>
      </c>
    </row>
    <row r="201" spans="1:44" ht="15" customHeight="1" x14ac:dyDescent="0.35">
      <c r="A201" s="305"/>
      <c r="B201" s="440">
        <v>19.463899999999999</v>
      </c>
      <c r="C201" s="441">
        <v>19.852599999999999</v>
      </c>
      <c r="D201" s="441">
        <v>20.430299999999999</v>
      </c>
      <c r="E201" s="441">
        <v>20.818899999999999</v>
      </c>
      <c r="F201" s="441">
        <v>21.207599999999999</v>
      </c>
      <c r="G201" s="441">
        <v>21.5962</v>
      </c>
      <c r="H201" s="441">
        <v>22.1844</v>
      </c>
      <c r="I201" s="441">
        <v>22.5731</v>
      </c>
      <c r="J201" s="441">
        <v>22.9617</v>
      </c>
      <c r="K201" s="441">
        <v>23.55</v>
      </c>
      <c r="L201" s="441">
        <v>23.938600000000001</v>
      </c>
      <c r="M201" s="441">
        <v>24.327300000000001</v>
      </c>
      <c r="N201" s="441">
        <v>24.905000000000001</v>
      </c>
      <c r="O201" s="441">
        <v>25.293600000000001</v>
      </c>
      <c r="P201" s="441">
        <v>25.682300000000001</v>
      </c>
      <c r="Q201" s="441">
        <v>26.070900000000002</v>
      </c>
      <c r="R201" s="441">
        <v>26.659199999999998</v>
      </c>
      <c r="S201" s="441">
        <v>26.659199999999998</v>
      </c>
      <c r="T201" s="441">
        <v>26.659199999999998</v>
      </c>
      <c r="U201" s="441">
        <v>26.659199999999998</v>
      </c>
      <c r="V201" s="442">
        <v>27.047799999999999</v>
      </c>
      <c r="W201" s="435">
        <v>16</v>
      </c>
      <c r="X201" s="454">
        <f t="shared" si="1"/>
        <v>40640.623199999995</v>
      </c>
      <c r="Y201" s="454">
        <f t="shared" si="1"/>
        <v>41452.228799999997</v>
      </c>
      <c r="Z201" s="454">
        <f t="shared" si="1"/>
        <v>42658.466399999998</v>
      </c>
      <c r="AA201" s="454">
        <f t="shared" si="1"/>
        <v>43469.8632</v>
      </c>
      <c r="AB201" s="454">
        <f t="shared" si="1"/>
        <v>44281.468799999995</v>
      </c>
      <c r="AC201" s="454">
        <f t="shared" si="1"/>
        <v>45092.865599999997</v>
      </c>
      <c r="AD201" s="454">
        <f t="shared" si="1"/>
        <v>46321.027199999997</v>
      </c>
      <c r="AE201" s="454">
        <f t="shared" si="1"/>
        <v>47132.632799999999</v>
      </c>
      <c r="AF201" s="454">
        <f t="shared" si="1"/>
        <v>47944.029600000002</v>
      </c>
      <c r="AG201" s="454">
        <f t="shared" si="1"/>
        <v>49172.4</v>
      </c>
      <c r="AH201" s="454">
        <f t="shared" si="1"/>
        <v>49983.796800000004</v>
      </c>
      <c r="AI201" s="454">
        <f t="shared" si="1"/>
        <v>50795.402399999999</v>
      </c>
      <c r="AJ201" s="454">
        <f t="shared" si="1"/>
        <v>52001.64</v>
      </c>
      <c r="AK201" s="454">
        <f t="shared" si="1"/>
        <v>52813.036800000002</v>
      </c>
      <c r="AL201" s="454">
        <f t="shared" si="1"/>
        <v>53624.642400000004</v>
      </c>
      <c r="AM201" s="454">
        <f t="shared" si="1"/>
        <v>54436.039200000007</v>
      </c>
      <c r="AN201" s="454">
        <f t="shared" si="2"/>
        <v>55664.409599999999</v>
      </c>
      <c r="AO201" s="454">
        <f t="shared" si="2"/>
        <v>55664.409599999999</v>
      </c>
      <c r="AP201" s="454">
        <f t="shared" si="2"/>
        <v>55664.409599999999</v>
      </c>
      <c r="AQ201" s="454">
        <f t="shared" si="2"/>
        <v>55664.409599999999</v>
      </c>
      <c r="AR201" s="454">
        <f t="shared" si="2"/>
        <v>56475.806399999994</v>
      </c>
    </row>
    <row r="202" spans="1:44" ht="15" customHeight="1" x14ac:dyDescent="0.35">
      <c r="A202" s="305"/>
      <c r="B202" s="440">
        <v>20.241199999999999</v>
      </c>
      <c r="C202" s="441">
        <v>20.6404</v>
      </c>
      <c r="D202" s="441">
        <v>21.249600000000001</v>
      </c>
      <c r="E202" s="441">
        <v>21.648700000000002</v>
      </c>
      <c r="F202" s="441">
        <v>22.058399999999999</v>
      </c>
      <c r="G202" s="441">
        <v>22.4681</v>
      </c>
      <c r="H202" s="441">
        <v>23.066800000000001</v>
      </c>
      <c r="I202" s="441">
        <v>23.476400000000002</v>
      </c>
      <c r="J202" s="441">
        <v>23.875599999999999</v>
      </c>
      <c r="K202" s="441">
        <v>24.4848</v>
      </c>
      <c r="L202" s="441">
        <v>24.894500000000001</v>
      </c>
      <c r="M202" s="441">
        <v>25.293600000000001</v>
      </c>
      <c r="N202" s="441">
        <v>25.902899999999999</v>
      </c>
      <c r="O202" s="441">
        <v>26.3125</v>
      </c>
      <c r="P202" s="441">
        <v>26.7117</v>
      </c>
      <c r="Q202" s="441">
        <v>27.121300000000002</v>
      </c>
      <c r="R202" s="441">
        <v>27.720099999999999</v>
      </c>
      <c r="S202" s="441">
        <v>27.720099999999999</v>
      </c>
      <c r="T202" s="441">
        <v>27.720099999999999</v>
      </c>
      <c r="U202" s="441">
        <v>27.720099999999999</v>
      </c>
      <c r="V202" s="442">
        <v>28.1297</v>
      </c>
      <c r="W202" s="435">
        <v>17</v>
      </c>
      <c r="X202" s="454">
        <f t="shared" si="1"/>
        <v>42263.625599999999</v>
      </c>
      <c r="Y202" s="454">
        <f t="shared" si="1"/>
        <v>43097.155200000001</v>
      </c>
      <c r="Z202" s="454">
        <f t="shared" si="1"/>
        <v>44369.164799999999</v>
      </c>
      <c r="AA202" s="454">
        <f t="shared" si="1"/>
        <v>45202.4856</v>
      </c>
      <c r="AB202" s="454">
        <f t="shared" si="1"/>
        <v>46057.939200000001</v>
      </c>
      <c r="AC202" s="454">
        <f t="shared" si="1"/>
        <v>46913.392800000001</v>
      </c>
      <c r="AD202" s="454">
        <f t="shared" si="1"/>
        <v>48163.4784</v>
      </c>
      <c r="AE202" s="454">
        <f t="shared" si="1"/>
        <v>49018.7232</v>
      </c>
      <c r="AF202" s="454">
        <f t="shared" si="1"/>
        <v>49852.252799999995</v>
      </c>
      <c r="AG202" s="454">
        <f t="shared" si="1"/>
        <v>51124.2624</v>
      </c>
      <c r="AH202" s="454">
        <f t="shared" si="1"/>
        <v>51979.716</v>
      </c>
      <c r="AI202" s="454">
        <f t="shared" si="1"/>
        <v>52813.036800000002</v>
      </c>
      <c r="AJ202" s="454">
        <f t="shared" si="1"/>
        <v>54085.2552</v>
      </c>
      <c r="AK202" s="454">
        <f t="shared" si="1"/>
        <v>54940.5</v>
      </c>
      <c r="AL202" s="454">
        <f t="shared" si="1"/>
        <v>55774.029600000002</v>
      </c>
      <c r="AM202" s="454">
        <f t="shared" si="1"/>
        <v>56629.274400000002</v>
      </c>
      <c r="AN202" s="454">
        <f t="shared" si="2"/>
        <v>57879.568799999994</v>
      </c>
      <c r="AO202" s="454">
        <f t="shared" si="2"/>
        <v>57879.568799999994</v>
      </c>
      <c r="AP202" s="454">
        <f t="shared" si="2"/>
        <v>57879.568799999994</v>
      </c>
      <c r="AQ202" s="454">
        <f t="shared" si="2"/>
        <v>57879.568799999994</v>
      </c>
      <c r="AR202" s="454">
        <f t="shared" si="2"/>
        <v>58734.813600000001</v>
      </c>
    </row>
    <row r="203" spans="1:44" ht="15" customHeight="1" x14ac:dyDescent="0.35">
      <c r="A203" s="305"/>
      <c r="B203" s="440">
        <v>20.7454</v>
      </c>
      <c r="C203" s="441">
        <v>21.155100000000001</v>
      </c>
      <c r="D203" s="441">
        <v>21.785299999999999</v>
      </c>
      <c r="E203" s="441">
        <v>22.195</v>
      </c>
      <c r="F203" s="441">
        <v>22.615100000000002</v>
      </c>
      <c r="G203" s="441">
        <v>23.024799999999999</v>
      </c>
      <c r="H203" s="441">
        <v>23.644500000000001</v>
      </c>
      <c r="I203" s="441">
        <v>24.064699999999998</v>
      </c>
      <c r="J203" s="441">
        <v>24.474299999999999</v>
      </c>
      <c r="K203" s="441">
        <v>25.094100000000001</v>
      </c>
      <c r="L203" s="441">
        <v>25.514199999999999</v>
      </c>
      <c r="M203" s="441">
        <v>25.9239</v>
      </c>
      <c r="N203" s="441">
        <v>26.554099999999998</v>
      </c>
      <c r="O203" s="441">
        <v>26.963799999999999</v>
      </c>
      <c r="P203" s="441">
        <v>27.383900000000001</v>
      </c>
      <c r="Q203" s="441">
        <v>27.793600000000001</v>
      </c>
      <c r="R203" s="441">
        <v>28.4133</v>
      </c>
      <c r="S203" s="441">
        <v>28.4133</v>
      </c>
      <c r="T203" s="441">
        <v>28.4133</v>
      </c>
      <c r="U203" s="441">
        <v>28.4133</v>
      </c>
      <c r="V203" s="442">
        <v>28.833500000000001</v>
      </c>
      <c r="W203" s="435">
        <v>18</v>
      </c>
      <c r="X203" s="454">
        <f t="shared" si="1"/>
        <v>43316.395199999999</v>
      </c>
      <c r="Y203" s="454">
        <f t="shared" si="1"/>
        <v>44171.8488</v>
      </c>
      <c r="Z203" s="454">
        <f t="shared" si="1"/>
        <v>45487.706399999995</v>
      </c>
      <c r="AA203" s="454">
        <f t="shared" si="1"/>
        <v>46343.16</v>
      </c>
      <c r="AB203" s="454">
        <f t="shared" si="1"/>
        <v>47220.328800000003</v>
      </c>
      <c r="AC203" s="454">
        <f t="shared" si="1"/>
        <v>48075.782399999996</v>
      </c>
      <c r="AD203" s="454">
        <f t="shared" si="1"/>
        <v>49369.716</v>
      </c>
      <c r="AE203" s="454">
        <f t="shared" si="1"/>
        <v>50247.0936</v>
      </c>
      <c r="AF203" s="454">
        <f t="shared" si="1"/>
        <v>51102.338400000001</v>
      </c>
      <c r="AG203" s="454">
        <f t="shared" si="1"/>
        <v>52396.480800000005</v>
      </c>
      <c r="AH203" s="454">
        <f t="shared" si="1"/>
        <v>53273.649599999997</v>
      </c>
      <c r="AI203" s="454">
        <f t="shared" si="1"/>
        <v>54129.103199999998</v>
      </c>
      <c r="AJ203" s="454">
        <f t="shared" si="1"/>
        <v>55444.960799999993</v>
      </c>
      <c r="AK203" s="454">
        <f t="shared" si="1"/>
        <v>56300.414400000001</v>
      </c>
      <c r="AL203" s="454">
        <f t="shared" si="1"/>
        <v>57177.583200000001</v>
      </c>
      <c r="AM203" s="454">
        <f t="shared" si="1"/>
        <v>58033.036800000002</v>
      </c>
      <c r="AN203" s="454">
        <f t="shared" si="2"/>
        <v>59326.970399999998</v>
      </c>
      <c r="AO203" s="454">
        <f t="shared" si="2"/>
        <v>59326.970399999998</v>
      </c>
      <c r="AP203" s="454">
        <f t="shared" si="2"/>
        <v>59326.970399999998</v>
      </c>
      <c r="AQ203" s="454">
        <f t="shared" si="2"/>
        <v>59326.970399999998</v>
      </c>
      <c r="AR203" s="454">
        <f t="shared" si="2"/>
        <v>60204.347999999998</v>
      </c>
    </row>
    <row r="204" spans="1:44" ht="15" customHeight="1" x14ac:dyDescent="0.35">
      <c r="A204" s="305"/>
      <c r="B204" s="440">
        <v>21.155100000000001</v>
      </c>
      <c r="C204" s="441">
        <v>21.585699999999999</v>
      </c>
      <c r="D204" s="441">
        <v>22.216000000000001</v>
      </c>
      <c r="E204" s="441">
        <v>22.636099999999999</v>
      </c>
      <c r="F204" s="441">
        <v>23.066800000000001</v>
      </c>
      <c r="G204" s="441">
        <v>23.486899999999999</v>
      </c>
      <c r="H204" s="441">
        <v>24.1172</v>
      </c>
      <c r="I204" s="441">
        <v>24.547799999999999</v>
      </c>
      <c r="J204" s="441">
        <v>24.968</v>
      </c>
      <c r="K204" s="441">
        <v>25.598199999999999</v>
      </c>
      <c r="L204" s="441">
        <v>26.0289</v>
      </c>
      <c r="M204" s="441">
        <v>26.449100000000001</v>
      </c>
      <c r="N204" s="441">
        <v>27.0793</v>
      </c>
      <c r="O204" s="441">
        <v>27.51</v>
      </c>
      <c r="P204" s="441">
        <v>27.930099999999999</v>
      </c>
      <c r="Q204" s="441">
        <v>28.350300000000001</v>
      </c>
      <c r="R204" s="441">
        <v>28.991</v>
      </c>
      <c r="S204" s="441">
        <v>28.991</v>
      </c>
      <c r="T204" s="441">
        <v>28.991</v>
      </c>
      <c r="U204" s="441">
        <v>28.991</v>
      </c>
      <c r="V204" s="442">
        <v>29.411200000000001</v>
      </c>
      <c r="W204" s="435">
        <v>19</v>
      </c>
      <c r="X204" s="454">
        <f t="shared" si="1"/>
        <v>44171.8488</v>
      </c>
      <c r="Y204" s="454">
        <f t="shared" si="1"/>
        <v>45070.941599999998</v>
      </c>
      <c r="Z204" s="454">
        <f t="shared" si="1"/>
        <v>46387.008000000002</v>
      </c>
      <c r="AA204" s="454">
        <f t="shared" si="1"/>
        <v>47264.176800000001</v>
      </c>
      <c r="AB204" s="454">
        <f t="shared" si="1"/>
        <v>48163.4784</v>
      </c>
      <c r="AC204" s="454">
        <f t="shared" si="1"/>
        <v>49040.647199999999</v>
      </c>
      <c r="AD204" s="454">
        <f t="shared" si="1"/>
        <v>50356.713600000003</v>
      </c>
      <c r="AE204" s="454">
        <f t="shared" si="1"/>
        <v>51255.806399999994</v>
      </c>
      <c r="AF204" s="454">
        <f t="shared" si="1"/>
        <v>52133.184000000001</v>
      </c>
      <c r="AG204" s="454">
        <f t="shared" si="1"/>
        <v>53449.041599999997</v>
      </c>
      <c r="AH204" s="454">
        <f t="shared" si="1"/>
        <v>54348.343200000003</v>
      </c>
      <c r="AI204" s="454">
        <f t="shared" si="1"/>
        <v>55225.720800000003</v>
      </c>
      <c r="AJ204" s="454">
        <f t="shared" si="1"/>
        <v>56541.578399999999</v>
      </c>
      <c r="AK204" s="454">
        <f t="shared" si="1"/>
        <v>57440.880000000005</v>
      </c>
      <c r="AL204" s="454">
        <f t="shared" si="1"/>
        <v>58318.048799999997</v>
      </c>
      <c r="AM204" s="454">
        <f t="shared" si="1"/>
        <v>59195.426400000004</v>
      </c>
      <c r="AN204" s="454">
        <f t="shared" si="2"/>
        <v>60533.207999999999</v>
      </c>
      <c r="AO204" s="454">
        <f t="shared" si="2"/>
        <v>60533.207999999999</v>
      </c>
      <c r="AP204" s="454">
        <f t="shared" si="2"/>
        <v>60533.207999999999</v>
      </c>
      <c r="AQ204" s="454">
        <f t="shared" si="2"/>
        <v>60533.207999999999</v>
      </c>
      <c r="AR204" s="454">
        <f t="shared" si="2"/>
        <v>61410.585599999999</v>
      </c>
    </row>
    <row r="205" spans="1:44" ht="15" customHeight="1" x14ac:dyDescent="0.35">
      <c r="A205" s="305"/>
      <c r="B205" s="440">
        <v>21.585699999999999</v>
      </c>
      <c r="C205" s="441">
        <v>22.016400000000001</v>
      </c>
      <c r="D205" s="441">
        <v>22.6571</v>
      </c>
      <c r="E205" s="441">
        <v>23.087800000000001</v>
      </c>
      <c r="F205" s="441">
        <v>23.5185</v>
      </c>
      <c r="G205" s="441">
        <v>23.959599999999998</v>
      </c>
      <c r="H205" s="441">
        <v>24.6004</v>
      </c>
      <c r="I205" s="441">
        <v>25.030999999999999</v>
      </c>
      <c r="J205" s="441">
        <v>25.4617</v>
      </c>
      <c r="K205" s="441">
        <v>26.1129</v>
      </c>
      <c r="L205" s="441">
        <v>26.543600000000001</v>
      </c>
      <c r="M205" s="441">
        <v>26.974299999999999</v>
      </c>
      <c r="N205" s="441">
        <v>27.625499999999999</v>
      </c>
      <c r="O205" s="441">
        <v>28.0562</v>
      </c>
      <c r="P205" s="441">
        <v>28.486799999999999</v>
      </c>
      <c r="Q205" s="441">
        <v>28.9175</v>
      </c>
      <c r="R205" s="441">
        <v>29.5688</v>
      </c>
      <c r="S205" s="441">
        <v>29.5688</v>
      </c>
      <c r="T205" s="441">
        <v>29.5688</v>
      </c>
      <c r="U205" s="441">
        <v>29.5688</v>
      </c>
      <c r="V205" s="442">
        <v>29.999400000000001</v>
      </c>
      <c r="W205" s="435">
        <v>20</v>
      </c>
      <c r="X205" s="454">
        <f t="shared" si="1"/>
        <v>45070.941599999998</v>
      </c>
      <c r="Y205" s="454">
        <f t="shared" si="1"/>
        <v>45970.243200000004</v>
      </c>
      <c r="Z205" s="454">
        <f t="shared" si="1"/>
        <v>47308.024799999999</v>
      </c>
      <c r="AA205" s="454">
        <f t="shared" si="1"/>
        <v>48207.326400000005</v>
      </c>
      <c r="AB205" s="454">
        <f t="shared" si="1"/>
        <v>49106.627999999997</v>
      </c>
      <c r="AC205" s="454">
        <f t="shared" si="1"/>
        <v>50027.644799999995</v>
      </c>
      <c r="AD205" s="454">
        <f t="shared" si="1"/>
        <v>51365.635200000004</v>
      </c>
      <c r="AE205" s="454">
        <f t="shared" si="1"/>
        <v>52264.727999999996</v>
      </c>
      <c r="AF205" s="454">
        <f t="shared" si="1"/>
        <v>53164.029600000002</v>
      </c>
      <c r="AG205" s="454">
        <f t="shared" si="1"/>
        <v>54523.735200000003</v>
      </c>
      <c r="AH205" s="454">
        <f t="shared" si="1"/>
        <v>55423.036800000002</v>
      </c>
      <c r="AI205" s="454">
        <f t="shared" si="1"/>
        <v>56322.338400000001</v>
      </c>
      <c r="AJ205" s="454">
        <f t="shared" si="1"/>
        <v>57682.043999999994</v>
      </c>
      <c r="AK205" s="454">
        <f t="shared" si="1"/>
        <v>58581.345600000001</v>
      </c>
      <c r="AL205" s="454">
        <f t="shared" si="1"/>
        <v>59480.438399999999</v>
      </c>
      <c r="AM205" s="454">
        <f t="shared" si="1"/>
        <v>60379.74</v>
      </c>
      <c r="AN205" s="454">
        <f t="shared" si="2"/>
        <v>61739.654399999999</v>
      </c>
      <c r="AO205" s="454">
        <f t="shared" si="2"/>
        <v>61739.654399999999</v>
      </c>
      <c r="AP205" s="454">
        <f t="shared" si="2"/>
        <v>61739.654399999999</v>
      </c>
      <c r="AQ205" s="454">
        <f t="shared" si="2"/>
        <v>61739.654399999999</v>
      </c>
      <c r="AR205" s="454">
        <f t="shared" si="2"/>
        <v>62638.747200000005</v>
      </c>
    </row>
    <row r="206" spans="1:44" ht="15" customHeight="1" x14ac:dyDescent="0.35">
      <c r="A206" s="305"/>
      <c r="B206" s="440">
        <v>22.016400000000001</v>
      </c>
      <c r="C206" s="441">
        <v>22.457599999999999</v>
      </c>
      <c r="D206" s="441">
        <v>23.108799999999999</v>
      </c>
      <c r="E206" s="441">
        <v>23.55</v>
      </c>
      <c r="F206" s="441">
        <v>23.991099999999999</v>
      </c>
      <c r="G206" s="441">
        <v>24.432300000000001</v>
      </c>
      <c r="H206" s="441">
        <v>25.094100000000001</v>
      </c>
      <c r="I206" s="441">
        <v>25.5352</v>
      </c>
      <c r="J206" s="441">
        <v>25.976400000000002</v>
      </c>
      <c r="K206" s="441">
        <v>26.638100000000001</v>
      </c>
      <c r="L206" s="441">
        <v>27.0793</v>
      </c>
      <c r="M206" s="441">
        <v>27.520499999999998</v>
      </c>
      <c r="N206" s="441">
        <v>28.171700000000001</v>
      </c>
      <c r="O206" s="441">
        <v>28.6129</v>
      </c>
      <c r="P206" s="441">
        <v>29.054099999999998</v>
      </c>
      <c r="Q206" s="441">
        <v>29.495200000000001</v>
      </c>
      <c r="R206" s="441">
        <v>30.157</v>
      </c>
      <c r="S206" s="441">
        <v>30.157</v>
      </c>
      <c r="T206" s="441">
        <v>30.157</v>
      </c>
      <c r="U206" s="441">
        <v>30.157</v>
      </c>
      <c r="V206" s="442">
        <v>30.598199999999999</v>
      </c>
      <c r="W206" s="435">
        <v>21</v>
      </c>
      <c r="X206" s="454">
        <f t="shared" si="1"/>
        <v>45970.243200000004</v>
      </c>
      <c r="Y206" s="454">
        <f t="shared" si="1"/>
        <v>46891.468799999995</v>
      </c>
      <c r="Z206" s="454">
        <f t="shared" si="1"/>
        <v>48251.174399999996</v>
      </c>
      <c r="AA206" s="454">
        <f t="shared" si="1"/>
        <v>49172.4</v>
      </c>
      <c r="AB206" s="454">
        <f t="shared" si="1"/>
        <v>50093.416799999999</v>
      </c>
      <c r="AC206" s="454">
        <f t="shared" si="1"/>
        <v>51014.642400000004</v>
      </c>
      <c r="AD206" s="454">
        <f t="shared" si="1"/>
        <v>52396.480800000005</v>
      </c>
      <c r="AE206" s="454">
        <f t="shared" si="1"/>
        <v>53317.497600000002</v>
      </c>
      <c r="AF206" s="454">
        <f t="shared" si="1"/>
        <v>54238.7232</v>
      </c>
      <c r="AG206" s="454">
        <f t="shared" si="1"/>
        <v>55620.352800000001</v>
      </c>
      <c r="AH206" s="454">
        <f t="shared" si="1"/>
        <v>56541.578399999999</v>
      </c>
      <c r="AI206" s="454">
        <f t="shared" si="1"/>
        <v>57462.803999999996</v>
      </c>
      <c r="AJ206" s="454">
        <f t="shared" si="1"/>
        <v>58822.509600000005</v>
      </c>
      <c r="AK206" s="454">
        <f t="shared" si="1"/>
        <v>59743.735200000003</v>
      </c>
      <c r="AL206" s="454">
        <f t="shared" si="1"/>
        <v>60664.960799999993</v>
      </c>
      <c r="AM206" s="454">
        <f t="shared" si="1"/>
        <v>61585.977599999998</v>
      </c>
      <c r="AN206" s="454">
        <f t="shared" si="2"/>
        <v>62967.815999999999</v>
      </c>
      <c r="AO206" s="454">
        <f t="shared" si="2"/>
        <v>62967.815999999999</v>
      </c>
      <c r="AP206" s="454">
        <f t="shared" si="2"/>
        <v>62967.815999999999</v>
      </c>
      <c r="AQ206" s="454">
        <f t="shared" si="2"/>
        <v>62967.815999999999</v>
      </c>
      <c r="AR206" s="454">
        <f t="shared" si="2"/>
        <v>63889.041599999997</v>
      </c>
    </row>
    <row r="207" spans="1:44" ht="15" customHeight="1" x14ac:dyDescent="0.35">
      <c r="A207" s="305"/>
      <c r="B207" s="440">
        <v>23.634</v>
      </c>
      <c r="C207" s="441">
        <v>24.1067</v>
      </c>
      <c r="D207" s="441">
        <v>24.821000000000002</v>
      </c>
      <c r="E207" s="441">
        <v>25.293600000000001</v>
      </c>
      <c r="F207" s="441">
        <v>25.766300000000001</v>
      </c>
      <c r="G207" s="441">
        <v>26.239000000000001</v>
      </c>
      <c r="H207" s="441">
        <v>26.942799999999998</v>
      </c>
      <c r="I207" s="441">
        <v>27.415400000000002</v>
      </c>
      <c r="J207" s="441">
        <v>27.888100000000001</v>
      </c>
      <c r="K207" s="441">
        <v>28.602399999999999</v>
      </c>
      <c r="L207" s="441">
        <v>29.075099999999999</v>
      </c>
      <c r="M207" s="441">
        <v>29.547799999999999</v>
      </c>
      <c r="N207" s="441">
        <v>30.2515</v>
      </c>
      <c r="O207" s="441">
        <v>30.7242</v>
      </c>
      <c r="P207" s="441">
        <v>31.196899999999999</v>
      </c>
      <c r="Q207" s="441">
        <v>31.669599999999999</v>
      </c>
      <c r="R207" s="441">
        <v>32.383800000000001</v>
      </c>
      <c r="S207" s="441">
        <v>32.383800000000001</v>
      </c>
      <c r="T207" s="441">
        <v>32.383800000000001</v>
      </c>
      <c r="U207" s="441">
        <v>32.383800000000001</v>
      </c>
      <c r="V207" s="442">
        <v>32.856499999999997</v>
      </c>
      <c r="W207" s="435">
        <v>22</v>
      </c>
      <c r="X207" s="454">
        <f t="shared" si="1"/>
        <v>49347.792000000001</v>
      </c>
      <c r="Y207" s="454">
        <f t="shared" si="1"/>
        <v>50334.789599999996</v>
      </c>
      <c r="Z207" s="454">
        <f t="shared" si="1"/>
        <v>51826.248</v>
      </c>
      <c r="AA207" s="454">
        <f t="shared" si="1"/>
        <v>52813.036800000002</v>
      </c>
      <c r="AB207" s="454">
        <f t="shared" si="1"/>
        <v>53800.034400000004</v>
      </c>
      <c r="AC207" s="454">
        <f t="shared" si="1"/>
        <v>54787.031999999999</v>
      </c>
      <c r="AD207" s="454">
        <f t="shared" si="1"/>
        <v>56256.566399999996</v>
      </c>
      <c r="AE207" s="454">
        <f t="shared" si="1"/>
        <v>57243.355200000005</v>
      </c>
      <c r="AF207" s="454">
        <f t="shared" si="1"/>
        <v>58230.352800000001</v>
      </c>
      <c r="AG207" s="454">
        <f t="shared" si="1"/>
        <v>59721.811199999996</v>
      </c>
      <c r="AH207" s="454">
        <f t="shared" si="1"/>
        <v>60708.808799999999</v>
      </c>
      <c r="AI207" s="454">
        <f t="shared" si="1"/>
        <v>61695.806399999994</v>
      </c>
      <c r="AJ207" s="454">
        <f t="shared" si="1"/>
        <v>63165.131999999998</v>
      </c>
      <c r="AK207" s="454">
        <f t="shared" si="1"/>
        <v>64152.1296</v>
      </c>
      <c r="AL207" s="454">
        <f t="shared" si="1"/>
        <v>65139.127199999995</v>
      </c>
      <c r="AM207" s="454">
        <f t="shared" si="1"/>
        <v>66126.124800000005</v>
      </c>
      <c r="AN207" s="454">
        <f t="shared" si="2"/>
        <v>67617.374400000001</v>
      </c>
      <c r="AO207" s="454">
        <f t="shared" si="2"/>
        <v>67617.374400000001</v>
      </c>
      <c r="AP207" s="454">
        <f t="shared" si="2"/>
        <v>67617.374400000001</v>
      </c>
      <c r="AQ207" s="454">
        <f t="shared" si="2"/>
        <v>67617.374400000001</v>
      </c>
      <c r="AR207" s="454">
        <f t="shared" si="2"/>
        <v>68604.371999999988</v>
      </c>
    </row>
    <row r="208" spans="1:44" ht="15" customHeight="1" x14ac:dyDescent="0.35">
      <c r="A208" s="305"/>
      <c r="B208" s="440">
        <v>24.4953</v>
      </c>
      <c r="C208" s="441">
        <v>24.989000000000001</v>
      </c>
      <c r="D208" s="441">
        <v>25.724299999999999</v>
      </c>
      <c r="E208" s="441">
        <v>26.218</v>
      </c>
      <c r="F208" s="441">
        <v>26.7012</v>
      </c>
      <c r="G208" s="441">
        <v>27.194900000000001</v>
      </c>
      <c r="H208" s="441">
        <v>27.930099999999999</v>
      </c>
      <c r="I208" s="441">
        <v>28.4238</v>
      </c>
      <c r="J208" s="441">
        <v>28.907</v>
      </c>
      <c r="K208" s="441">
        <v>29.642299999999999</v>
      </c>
      <c r="L208" s="441">
        <v>30.135999999999999</v>
      </c>
      <c r="M208" s="441">
        <v>30.6297</v>
      </c>
      <c r="N208" s="441">
        <v>31.364899999999999</v>
      </c>
      <c r="O208" s="441">
        <v>31.848099999999999</v>
      </c>
      <c r="P208" s="441">
        <v>32.341799999999999</v>
      </c>
      <c r="Q208" s="441">
        <v>32.835500000000003</v>
      </c>
      <c r="R208" s="441">
        <v>33.560299999999998</v>
      </c>
      <c r="S208" s="441">
        <v>33.560299999999998</v>
      </c>
      <c r="T208" s="441">
        <v>33.560299999999998</v>
      </c>
      <c r="U208" s="441">
        <v>33.560299999999998</v>
      </c>
      <c r="V208" s="442">
        <v>34.054000000000002</v>
      </c>
      <c r="W208" s="435">
        <v>23</v>
      </c>
      <c r="X208" s="454">
        <f t="shared" si="1"/>
        <v>51146.186399999999</v>
      </c>
      <c r="Y208" s="454">
        <f t="shared" si="1"/>
        <v>52177.031999999999</v>
      </c>
      <c r="Z208" s="454">
        <f t="shared" si="1"/>
        <v>53712.338400000001</v>
      </c>
      <c r="AA208" s="454">
        <f t="shared" si="1"/>
        <v>54743.184000000001</v>
      </c>
      <c r="AB208" s="454">
        <f t="shared" si="1"/>
        <v>55752.105600000003</v>
      </c>
      <c r="AC208" s="454">
        <f t="shared" si="1"/>
        <v>56782.951200000003</v>
      </c>
      <c r="AD208" s="454">
        <f t="shared" si="1"/>
        <v>58318.048799999997</v>
      </c>
      <c r="AE208" s="454">
        <f t="shared" si="1"/>
        <v>59348.894399999997</v>
      </c>
      <c r="AF208" s="454">
        <f t="shared" si="1"/>
        <v>60357.815999999999</v>
      </c>
      <c r="AG208" s="454">
        <f t="shared" si="1"/>
        <v>61893.1224</v>
      </c>
      <c r="AH208" s="454">
        <f t="shared" si="1"/>
        <v>62923.968000000001</v>
      </c>
      <c r="AI208" s="454">
        <f t="shared" si="1"/>
        <v>63954.813600000001</v>
      </c>
      <c r="AJ208" s="454">
        <f t="shared" si="1"/>
        <v>65489.911199999995</v>
      </c>
      <c r="AK208" s="454">
        <f t="shared" si="1"/>
        <v>66498.832800000004</v>
      </c>
      <c r="AL208" s="454">
        <f t="shared" si="1"/>
        <v>67529.678400000004</v>
      </c>
      <c r="AM208" s="454">
        <f t="shared" si="1"/>
        <v>68560.524000000005</v>
      </c>
      <c r="AN208" s="454">
        <f t="shared" si="2"/>
        <v>70073.906399999993</v>
      </c>
      <c r="AO208" s="454">
        <f t="shared" si="2"/>
        <v>70073.906399999993</v>
      </c>
      <c r="AP208" s="454">
        <f t="shared" si="2"/>
        <v>70073.906399999993</v>
      </c>
      <c r="AQ208" s="454">
        <f t="shared" si="2"/>
        <v>70073.906399999993</v>
      </c>
      <c r="AR208" s="454">
        <f t="shared" si="2"/>
        <v>71104.752000000008</v>
      </c>
    </row>
    <row r="209" spans="1:44" ht="15" customHeight="1" x14ac:dyDescent="0.35">
      <c r="A209" s="305"/>
      <c r="B209" s="440">
        <v>25.724299999999999</v>
      </c>
      <c r="C209" s="441">
        <v>26.239000000000001</v>
      </c>
      <c r="D209" s="441">
        <v>27.016300000000001</v>
      </c>
      <c r="E209" s="441">
        <v>27.530999999999999</v>
      </c>
      <c r="F209" s="441">
        <v>28.0457</v>
      </c>
      <c r="G209" s="441">
        <v>28.549900000000001</v>
      </c>
      <c r="H209" s="441">
        <v>29.327200000000001</v>
      </c>
      <c r="I209" s="441">
        <v>29.841899999999999</v>
      </c>
      <c r="J209" s="441">
        <v>30.3566</v>
      </c>
      <c r="K209" s="441">
        <v>31.1234</v>
      </c>
      <c r="L209" s="441">
        <v>31.638000000000002</v>
      </c>
      <c r="M209" s="441">
        <v>32.152700000000003</v>
      </c>
      <c r="N209" s="441">
        <v>32.93</v>
      </c>
      <c r="O209" s="441">
        <v>33.444699999999997</v>
      </c>
      <c r="P209" s="441">
        <v>33.959400000000002</v>
      </c>
      <c r="Q209" s="441">
        <v>34.4741</v>
      </c>
      <c r="R209" s="441">
        <v>35.240900000000003</v>
      </c>
      <c r="S209" s="441">
        <v>35.240900000000003</v>
      </c>
      <c r="T209" s="441">
        <v>35.240900000000003</v>
      </c>
      <c r="U209" s="441">
        <v>35.240900000000003</v>
      </c>
      <c r="V209" s="442">
        <v>35.755600000000001</v>
      </c>
      <c r="W209" s="435">
        <v>24</v>
      </c>
      <c r="X209" s="454">
        <f t="shared" si="1"/>
        <v>53712.338400000001</v>
      </c>
      <c r="Y209" s="454">
        <f t="shared" si="1"/>
        <v>54787.031999999999</v>
      </c>
      <c r="Z209" s="454">
        <f t="shared" si="1"/>
        <v>56410.034400000004</v>
      </c>
      <c r="AA209" s="454">
        <f t="shared" si="1"/>
        <v>57484.727999999996</v>
      </c>
      <c r="AB209" s="454">
        <f t="shared" si="1"/>
        <v>58559.421600000001</v>
      </c>
      <c r="AC209" s="454">
        <f t="shared" si="1"/>
        <v>59612.191200000001</v>
      </c>
      <c r="AD209" s="454">
        <f t="shared" si="1"/>
        <v>61235.193600000006</v>
      </c>
      <c r="AE209" s="454">
        <f t="shared" si="1"/>
        <v>62309.887199999997</v>
      </c>
      <c r="AF209" s="454">
        <f t="shared" si="1"/>
        <v>63384.580800000003</v>
      </c>
      <c r="AG209" s="454">
        <f t="shared" si="1"/>
        <v>64985.659200000002</v>
      </c>
      <c r="AH209" s="454">
        <f t="shared" si="1"/>
        <v>66060.144</v>
      </c>
      <c r="AI209" s="454">
        <f t="shared" si="1"/>
        <v>67134.837599999999</v>
      </c>
      <c r="AJ209" s="454">
        <f t="shared" si="1"/>
        <v>68757.84</v>
      </c>
      <c r="AK209" s="454">
        <f t="shared" si="1"/>
        <v>69832.533599999995</v>
      </c>
      <c r="AL209" s="454">
        <f t="shared" si="1"/>
        <v>70907.227200000008</v>
      </c>
      <c r="AM209" s="454">
        <f t="shared" si="1"/>
        <v>71981.920800000007</v>
      </c>
      <c r="AN209" s="454">
        <f t="shared" si="2"/>
        <v>73582.999200000006</v>
      </c>
      <c r="AO209" s="454">
        <f t="shared" si="2"/>
        <v>73582.999200000006</v>
      </c>
      <c r="AP209" s="454">
        <f t="shared" si="2"/>
        <v>73582.999200000006</v>
      </c>
      <c r="AQ209" s="454">
        <f t="shared" si="2"/>
        <v>73582.999200000006</v>
      </c>
      <c r="AR209" s="454">
        <f t="shared" si="2"/>
        <v>74657.692800000004</v>
      </c>
    </row>
    <row r="210" spans="1:44" ht="15" customHeight="1" x14ac:dyDescent="0.35">
      <c r="A210" s="305"/>
      <c r="B210" s="440">
        <v>26.239000000000001</v>
      </c>
      <c r="C210" s="441">
        <v>26.764199999999999</v>
      </c>
      <c r="D210" s="441">
        <v>27.552</v>
      </c>
      <c r="E210" s="441">
        <v>28.077200000000001</v>
      </c>
      <c r="F210" s="441">
        <v>28.602399999999999</v>
      </c>
      <c r="G210" s="441">
        <v>29.127600000000001</v>
      </c>
      <c r="H210" s="441">
        <v>29.915400000000002</v>
      </c>
      <c r="I210" s="441">
        <v>30.4406</v>
      </c>
      <c r="J210" s="441">
        <v>30.965800000000002</v>
      </c>
      <c r="K210" s="441">
        <v>31.753599999999999</v>
      </c>
      <c r="L210" s="441">
        <v>32.278799999999997</v>
      </c>
      <c r="M210" s="441">
        <v>32.804000000000002</v>
      </c>
      <c r="N210" s="441">
        <v>33.591799999999999</v>
      </c>
      <c r="O210" s="441">
        <v>34.106499999999997</v>
      </c>
      <c r="P210" s="441">
        <v>34.631700000000002</v>
      </c>
      <c r="Q210" s="441">
        <v>35.1569</v>
      </c>
      <c r="R210" s="441">
        <v>35.944699999999997</v>
      </c>
      <c r="S210" s="441">
        <v>35.944699999999997</v>
      </c>
      <c r="T210" s="441">
        <v>35.944699999999997</v>
      </c>
      <c r="U210" s="441">
        <v>35.944699999999997</v>
      </c>
      <c r="V210" s="442">
        <v>36.469900000000003</v>
      </c>
      <c r="W210" s="435">
        <v>25</v>
      </c>
      <c r="X210" s="454">
        <f t="shared" si="1"/>
        <v>54787.031999999999</v>
      </c>
      <c r="Y210" s="454">
        <f t="shared" si="1"/>
        <v>55883.649599999997</v>
      </c>
      <c r="Z210" s="454">
        <f t="shared" si="1"/>
        <v>57528.576000000001</v>
      </c>
      <c r="AA210" s="454">
        <f t="shared" si="1"/>
        <v>58625.193600000006</v>
      </c>
      <c r="AB210" s="454">
        <f t="shared" si="1"/>
        <v>59721.811199999996</v>
      </c>
      <c r="AC210" s="454">
        <f t="shared" si="1"/>
        <v>60818.428800000002</v>
      </c>
      <c r="AD210" s="454">
        <f t="shared" si="1"/>
        <v>62463.355200000005</v>
      </c>
      <c r="AE210" s="454">
        <f t="shared" si="1"/>
        <v>63559.972800000003</v>
      </c>
      <c r="AF210" s="454">
        <f t="shared" si="1"/>
        <v>64656.590400000001</v>
      </c>
      <c r="AG210" s="454">
        <f t="shared" si="1"/>
        <v>66301.516799999998</v>
      </c>
      <c r="AH210" s="454">
        <f t="shared" si="1"/>
        <v>67398.134399999995</v>
      </c>
      <c r="AI210" s="454">
        <f t="shared" si="1"/>
        <v>68494.752000000008</v>
      </c>
      <c r="AJ210" s="454">
        <f t="shared" si="1"/>
        <v>70139.678400000004</v>
      </c>
      <c r="AK210" s="454">
        <f t="shared" si="1"/>
        <v>71214.371999999988</v>
      </c>
      <c r="AL210" s="454">
        <f t="shared" si="1"/>
        <v>72310.989600000001</v>
      </c>
      <c r="AM210" s="454">
        <f t="shared" si="1"/>
        <v>73407.607199999999</v>
      </c>
      <c r="AN210" s="454">
        <f t="shared" si="2"/>
        <v>75052.533599999995</v>
      </c>
      <c r="AO210" s="454">
        <f t="shared" si="2"/>
        <v>75052.533599999995</v>
      </c>
      <c r="AP210" s="454">
        <f t="shared" si="2"/>
        <v>75052.533599999995</v>
      </c>
      <c r="AQ210" s="454">
        <f t="shared" si="2"/>
        <v>75052.533599999995</v>
      </c>
      <c r="AR210" s="454">
        <f t="shared" si="2"/>
        <v>76149.151200000008</v>
      </c>
    </row>
    <row r="211" spans="1:44" ht="15" customHeight="1" x14ac:dyDescent="0.35">
      <c r="A211" s="305"/>
      <c r="B211" s="440">
        <v>26.764199999999999</v>
      </c>
      <c r="C211" s="441">
        <v>27.299900000000001</v>
      </c>
      <c r="D211" s="441">
        <v>28.098199999999999</v>
      </c>
      <c r="E211" s="441">
        <v>28.633900000000001</v>
      </c>
      <c r="F211" s="441">
        <v>29.169599999999999</v>
      </c>
      <c r="G211" s="441">
        <v>29.705300000000001</v>
      </c>
      <c r="H211" s="441">
        <v>30.514099999999999</v>
      </c>
      <c r="I211" s="441">
        <v>31.049800000000001</v>
      </c>
      <c r="J211" s="441">
        <v>31.5855</v>
      </c>
      <c r="K211" s="441">
        <v>32.383800000000001</v>
      </c>
      <c r="L211" s="441">
        <v>32.919499999999999</v>
      </c>
      <c r="M211" s="441">
        <v>33.455199999999998</v>
      </c>
      <c r="N211" s="441">
        <v>34.253500000000003</v>
      </c>
      <c r="O211" s="441">
        <v>34.789200000000001</v>
      </c>
      <c r="P211" s="441">
        <v>35.325000000000003</v>
      </c>
      <c r="Q211" s="441">
        <v>35.860700000000001</v>
      </c>
      <c r="R211" s="441">
        <v>36.669499999999999</v>
      </c>
      <c r="S211" s="441">
        <v>36.669499999999999</v>
      </c>
      <c r="T211" s="441">
        <v>36.669499999999999</v>
      </c>
      <c r="U211" s="441">
        <v>36.669499999999999</v>
      </c>
      <c r="V211" s="442">
        <v>37.205199999999998</v>
      </c>
      <c r="W211" s="435">
        <v>26</v>
      </c>
      <c r="X211" s="454">
        <f t="shared" si="1"/>
        <v>55883.649599999997</v>
      </c>
      <c r="Y211" s="454">
        <f t="shared" si="1"/>
        <v>57002.191200000001</v>
      </c>
      <c r="Z211" s="454">
        <f t="shared" si="1"/>
        <v>58669.041599999997</v>
      </c>
      <c r="AA211" s="454">
        <f t="shared" si="1"/>
        <v>59787.583200000001</v>
      </c>
      <c r="AB211" s="454">
        <f t="shared" si="1"/>
        <v>60906.124799999998</v>
      </c>
      <c r="AC211" s="454">
        <f t="shared" si="1"/>
        <v>62024.666400000002</v>
      </c>
      <c r="AD211" s="454">
        <f t="shared" si="1"/>
        <v>63713.440799999997</v>
      </c>
      <c r="AE211" s="454">
        <f t="shared" si="1"/>
        <v>64831.982400000001</v>
      </c>
      <c r="AF211" s="454">
        <f t="shared" si="1"/>
        <v>65950.524000000005</v>
      </c>
      <c r="AG211" s="454">
        <f t="shared" si="1"/>
        <v>67617.374400000001</v>
      </c>
      <c r="AH211" s="454">
        <f t="shared" si="1"/>
        <v>68735.915999999997</v>
      </c>
      <c r="AI211" s="454">
        <f t="shared" si="1"/>
        <v>69854.457599999994</v>
      </c>
      <c r="AJ211" s="454">
        <f t="shared" si="1"/>
        <v>71521.308000000005</v>
      </c>
      <c r="AK211" s="454">
        <f t="shared" si="1"/>
        <v>72639.849600000001</v>
      </c>
      <c r="AL211" s="454">
        <f t="shared" si="1"/>
        <v>73758.600000000006</v>
      </c>
      <c r="AM211" s="454">
        <f t="shared" si="1"/>
        <v>74877.141600000003</v>
      </c>
      <c r="AN211" s="454">
        <f t="shared" si="2"/>
        <v>76565.915999999997</v>
      </c>
      <c r="AO211" s="454">
        <f t="shared" si="2"/>
        <v>76565.915999999997</v>
      </c>
      <c r="AP211" s="454">
        <f t="shared" si="2"/>
        <v>76565.915999999997</v>
      </c>
      <c r="AQ211" s="454">
        <f t="shared" si="2"/>
        <v>76565.915999999997</v>
      </c>
      <c r="AR211" s="454">
        <f t="shared" si="2"/>
        <v>77684.457599999994</v>
      </c>
    </row>
    <row r="212" spans="1:44" ht="15" customHeight="1" x14ac:dyDescent="0.35">
      <c r="A212" s="305"/>
      <c r="B212" s="440">
        <v>29.495200000000001</v>
      </c>
      <c r="C212" s="441">
        <v>30.083500000000001</v>
      </c>
      <c r="D212" s="441">
        <v>30.965800000000002</v>
      </c>
      <c r="E212" s="441">
        <v>31.564499999999999</v>
      </c>
      <c r="F212" s="441">
        <v>32.152700000000003</v>
      </c>
      <c r="G212" s="441">
        <v>32.741</v>
      </c>
      <c r="H212" s="441">
        <v>33.6233</v>
      </c>
      <c r="I212" s="441">
        <v>34.211500000000001</v>
      </c>
      <c r="J212" s="441">
        <v>34.799799999999998</v>
      </c>
      <c r="K212" s="441">
        <v>35.692599999999999</v>
      </c>
      <c r="L212" s="441">
        <v>36.280799999999999</v>
      </c>
      <c r="M212" s="441">
        <v>36.869</v>
      </c>
      <c r="N212" s="441">
        <v>37.751399999999997</v>
      </c>
      <c r="O212" s="441">
        <v>38.339599999999997</v>
      </c>
      <c r="P212" s="441">
        <v>38.938299999999998</v>
      </c>
      <c r="Q212" s="441">
        <v>39.526600000000002</v>
      </c>
      <c r="R212" s="441">
        <v>40.408900000000003</v>
      </c>
      <c r="S212" s="441">
        <v>40.408900000000003</v>
      </c>
      <c r="T212" s="441">
        <v>40.408900000000003</v>
      </c>
      <c r="U212" s="441">
        <v>40.408900000000003</v>
      </c>
      <c r="V212" s="442">
        <v>40.997100000000003</v>
      </c>
      <c r="W212" s="435">
        <v>27</v>
      </c>
      <c r="X212" s="454">
        <f t="shared" si="1"/>
        <v>61585.977599999998</v>
      </c>
      <c r="Y212" s="454">
        <f t="shared" si="1"/>
        <v>62814.347999999998</v>
      </c>
      <c r="Z212" s="454">
        <f t="shared" si="1"/>
        <v>64656.590400000001</v>
      </c>
      <c r="AA212" s="454">
        <f t="shared" si="1"/>
        <v>65906.675999999992</v>
      </c>
      <c r="AB212" s="454">
        <f t="shared" si="1"/>
        <v>67134.837599999999</v>
      </c>
      <c r="AC212" s="454">
        <f t="shared" si="1"/>
        <v>68363.207999999999</v>
      </c>
      <c r="AD212" s="454">
        <f t="shared" si="1"/>
        <v>70205.450400000002</v>
      </c>
      <c r="AE212" s="454">
        <f t="shared" si="1"/>
        <v>71433.612000000008</v>
      </c>
      <c r="AF212" s="454">
        <f t="shared" si="1"/>
        <v>72661.982399999994</v>
      </c>
      <c r="AG212" s="454">
        <f t="shared" si="1"/>
        <v>74526.148799999995</v>
      </c>
      <c r="AH212" s="454">
        <f t="shared" si="1"/>
        <v>75754.310400000002</v>
      </c>
      <c r="AI212" s="454">
        <f t="shared" si="1"/>
        <v>76982.471999999994</v>
      </c>
      <c r="AJ212" s="454">
        <f t="shared" si="1"/>
        <v>78824.92319999999</v>
      </c>
      <c r="AK212" s="454">
        <f t="shared" si="1"/>
        <v>80053.084799999997</v>
      </c>
      <c r="AL212" s="454">
        <f t="shared" si="1"/>
        <v>81303.170400000003</v>
      </c>
      <c r="AM212" s="454">
        <f t="shared" si="1"/>
        <v>82531.540800000002</v>
      </c>
      <c r="AN212" s="454">
        <f t="shared" si="2"/>
        <v>84373.783200000005</v>
      </c>
      <c r="AO212" s="454">
        <f t="shared" si="2"/>
        <v>84373.783200000005</v>
      </c>
      <c r="AP212" s="454">
        <f t="shared" si="2"/>
        <v>84373.783200000005</v>
      </c>
      <c r="AQ212" s="454">
        <f t="shared" si="2"/>
        <v>84373.783200000005</v>
      </c>
      <c r="AR212" s="454">
        <f t="shared" si="2"/>
        <v>85601.944800000012</v>
      </c>
    </row>
    <row r="213" spans="1:44" ht="15" customHeight="1" x14ac:dyDescent="0.35">
      <c r="A213" s="305"/>
      <c r="B213" s="440">
        <v>30.377600000000001</v>
      </c>
      <c r="C213" s="441">
        <v>30.986799999999999</v>
      </c>
      <c r="D213" s="441">
        <v>31.900600000000001</v>
      </c>
      <c r="E213" s="441">
        <v>32.509900000000002</v>
      </c>
      <c r="F213" s="441">
        <v>33.119100000000003</v>
      </c>
      <c r="G213" s="441">
        <v>33.728299999999997</v>
      </c>
      <c r="H213" s="441">
        <v>34.631700000000002</v>
      </c>
      <c r="I213" s="441">
        <v>35.240900000000003</v>
      </c>
      <c r="J213" s="441">
        <v>35.850200000000001</v>
      </c>
      <c r="K213" s="441">
        <v>36.764000000000003</v>
      </c>
      <c r="L213" s="441">
        <v>37.373199999999997</v>
      </c>
      <c r="M213" s="441">
        <v>37.982500000000002</v>
      </c>
      <c r="N213" s="441">
        <v>38.885800000000003</v>
      </c>
      <c r="O213" s="441">
        <v>39.494999999999997</v>
      </c>
      <c r="P213" s="441">
        <v>40.104300000000002</v>
      </c>
      <c r="Q213" s="441">
        <v>40.713500000000003</v>
      </c>
      <c r="R213" s="441">
        <v>41.627400000000002</v>
      </c>
      <c r="S213" s="441">
        <v>41.627400000000002</v>
      </c>
      <c r="T213" s="441">
        <v>41.627400000000002</v>
      </c>
      <c r="U213" s="441">
        <v>41.627400000000002</v>
      </c>
      <c r="V213" s="442">
        <v>42.226100000000002</v>
      </c>
      <c r="W213" s="435">
        <v>28</v>
      </c>
      <c r="X213" s="454">
        <f t="shared" si="1"/>
        <v>63428.428800000002</v>
      </c>
      <c r="Y213" s="454">
        <f t="shared" si="1"/>
        <v>64700.438399999999</v>
      </c>
      <c r="Z213" s="454">
        <f t="shared" si="1"/>
        <v>66608.452799999999</v>
      </c>
      <c r="AA213" s="454">
        <f t="shared" si="1"/>
        <v>67880.671199999997</v>
      </c>
      <c r="AB213" s="454">
        <f t="shared" si="1"/>
        <v>69152.680800000002</v>
      </c>
      <c r="AC213" s="454">
        <f t="shared" si="1"/>
        <v>70424.690399999992</v>
      </c>
      <c r="AD213" s="454">
        <f t="shared" si="1"/>
        <v>72310.989600000001</v>
      </c>
      <c r="AE213" s="454">
        <f t="shared" si="1"/>
        <v>73582.999200000006</v>
      </c>
      <c r="AF213" s="454">
        <f t="shared" si="1"/>
        <v>74855.217600000004</v>
      </c>
      <c r="AG213" s="454">
        <f t="shared" si="1"/>
        <v>76763.232000000004</v>
      </c>
      <c r="AH213" s="454">
        <f t="shared" si="1"/>
        <v>78035.241599999994</v>
      </c>
      <c r="AI213" s="454">
        <f t="shared" si="1"/>
        <v>79307.460000000006</v>
      </c>
      <c r="AJ213" s="454">
        <f t="shared" si="1"/>
        <v>81193.550400000007</v>
      </c>
      <c r="AK213" s="454">
        <f t="shared" si="1"/>
        <v>82465.56</v>
      </c>
      <c r="AL213" s="454">
        <f t="shared" si="1"/>
        <v>83737.77840000001</v>
      </c>
      <c r="AM213" s="454">
        <f t="shared" si="1"/>
        <v>85009.788</v>
      </c>
      <c r="AN213" s="454">
        <f t="shared" si="2"/>
        <v>86918.011200000008</v>
      </c>
      <c r="AO213" s="454">
        <f t="shared" si="2"/>
        <v>86918.011200000008</v>
      </c>
      <c r="AP213" s="454">
        <f t="shared" si="2"/>
        <v>86918.011200000008</v>
      </c>
      <c r="AQ213" s="454">
        <f t="shared" si="2"/>
        <v>86918.011200000008</v>
      </c>
      <c r="AR213" s="454">
        <f t="shared" si="2"/>
        <v>88168.096799999999</v>
      </c>
    </row>
    <row r="214" spans="1:44" ht="15" customHeight="1" x14ac:dyDescent="0.35">
      <c r="A214" s="305"/>
      <c r="B214" s="440">
        <v>31.680099999999999</v>
      </c>
      <c r="C214" s="441">
        <v>32.310299999999998</v>
      </c>
      <c r="D214" s="441">
        <v>33.266199999999998</v>
      </c>
      <c r="E214" s="441">
        <v>33.8964</v>
      </c>
      <c r="F214" s="441">
        <v>34.526600000000002</v>
      </c>
      <c r="G214" s="441">
        <v>35.167400000000001</v>
      </c>
      <c r="H214" s="441">
        <v>36.1128</v>
      </c>
      <c r="I214" s="441">
        <v>36.753500000000003</v>
      </c>
      <c r="J214" s="441">
        <v>37.383699999999997</v>
      </c>
      <c r="K214" s="441">
        <v>38.329099999999997</v>
      </c>
      <c r="L214" s="441">
        <v>38.969799999999999</v>
      </c>
      <c r="M214" s="441">
        <v>39.600099999999998</v>
      </c>
      <c r="N214" s="441">
        <v>40.545400000000001</v>
      </c>
      <c r="O214" s="441">
        <v>41.186199999999999</v>
      </c>
      <c r="P214" s="441">
        <v>41.816400000000002</v>
      </c>
      <c r="Q214" s="441">
        <v>42.4467</v>
      </c>
      <c r="R214" s="441">
        <v>43.402500000000003</v>
      </c>
      <c r="S214" s="441">
        <v>43.402500000000003</v>
      </c>
      <c r="T214" s="441">
        <v>43.402500000000003</v>
      </c>
      <c r="U214" s="441">
        <v>43.402500000000003</v>
      </c>
      <c r="V214" s="442">
        <v>44.032800000000002</v>
      </c>
      <c r="W214" s="435">
        <v>29</v>
      </c>
      <c r="X214" s="454">
        <f t="shared" si="1"/>
        <v>66148.048800000004</v>
      </c>
      <c r="Y214" s="454">
        <f t="shared" si="1"/>
        <v>67463.906399999993</v>
      </c>
      <c r="Z214" s="454">
        <f t="shared" si="1"/>
        <v>69459.825599999996</v>
      </c>
      <c r="AA214" s="454">
        <f t="shared" ref="AA214:AM223" si="3">E214*261*8</f>
        <v>70775.683199999999</v>
      </c>
      <c r="AB214" s="454">
        <f t="shared" si="3"/>
        <v>72091.540800000002</v>
      </c>
      <c r="AC214" s="454">
        <f t="shared" si="3"/>
        <v>73429.531199999998</v>
      </c>
      <c r="AD214" s="454">
        <f t="shared" si="3"/>
        <v>75403.526400000002</v>
      </c>
      <c r="AE214" s="454">
        <f t="shared" si="3"/>
        <v>76741.308000000005</v>
      </c>
      <c r="AF214" s="454">
        <f t="shared" si="3"/>
        <v>78057.165599999993</v>
      </c>
      <c r="AG214" s="454">
        <f t="shared" si="3"/>
        <v>80031.160799999998</v>
      </c>
      <c r="AH214" s="454">
        <f t="shared" si="3"/>
        <v>81368.9424</v>
      </c>
      <c r="AI214" s="454">
        <f t="shared" si="3"/>
        <v>82685.008799999996</v>
      </c>
      <c r="AJ214" s="454">
        <f t="shared" si="3"/>
        <v>84658.795200000008</v>
      </c>
      <c r="AK214" s="454">
        <f t="shared" si="3"/>
        <v>85996.785600000003</v>
      </c>
      <c r="AL214" s="454">
        <f t="shared" si="3"/>
        <v>87312.643200000006</v>
      </c>
      <c r="AM214" s="454">
        <f t="shared" si="3"/>
        <v>88628.709600000002</v>
      </c>
      <c r="AN214" s="454">
        <f t="shared" si="2"/>
        <v>90624.420000000013</v>
      </c>
      <c r="AO214" s="454">
        <f t="shared" si="2"/>
        <v>90624.420000000013</v>
      </c>
      <c r="AP214" s="454">
        <f t="shared" si="2"/>
        <v>90624.420000000013</v>
      </c>
      <c r="AQ214" s="454">
        <f t="shared" si="2"/>
        <v>90624.420000000013</v>
      </c>
      <c r="AR214" s="454">
        <f t="shared" si="2"/>
        <v>91940.486400000009</v>
      </c>
    </row>
    <row r="215" spans="1:44" ht="15" customHeight="1" x14ac:dyDescent="0.35">
      <c r="A215" s="305"/>
      <c r="B215" s="440">
        <v>32.951000000000001</v>
      </c>
      <c r="C215" s="441">
        <v>33.6023</v>
      </c>
      <c r="D215" s="441">
        <v>34.589700000000001</v>
      </c>
      <c r="E215" s="441">
        <v>35.251399999999997</v>
      </c>
      <c r="F215" s="441">
        <v>35.913200000000003</v>
      </c>
      <c r="G215" s="441">
        <v>36.5749</v>
      </c>
      <c r="H215" s="441">
        <v>37.5623</v>
      </c>
      <c r="I215" s="441">
        <v>38.2241</v>
      </c>
      <c r="J215" s="441">
        <v>38.875300000000003</v>
      </c>
      <c r="K215" s="441">
        <v>39.862699999999997</v>
      </c>
      <c r="L215" s="441">
        <v>40.5244</v>
      </c>
      <c r="M215" s="441">
        <v>41.186199999999999</v>
      </c>
      <c r="N215" s="441">
        <v>42.1736</v>
      </c>
      <c r="O215" s="441">
        <v>42.835299999999997</v>
      </c>
      <c r="P215" s="441">
        <v>43.486600000000003</v>
      </c>
      <c r="Q215" s="441">
        <v>44.148299999999999</v>
      </c>
      <c r="R215" s="441">
        <v>45.1357</v>
      </c>
      <c r="S215" s="441">
        <v>45.1357</v>
      </c>
      <c r="T215" s="441">
        <v>45.1357</v>
      </c>
      <c r="U215" s="441">
        <v>45.1357</v>
      </c>
      <c r="V215" s="442">
        <v>45.797400000000003</v>
      </c>
      <c r="W215" s="435">
        <v>30</v>
      </c>
      <c r="X215" s="454">
        <f t="shared" ref="X215:Z223" si="4">B215*261*8</f>
        <v>68801.687999999995</v>
      </c>
      <c r="Y215" s="454">
        <f t="shared" si="4"/>
        <v>70161.602400000003</v>
      </c>
      <c r="Z215" s="454">
        <f t="shared" si="4"/>
        <v>72223.293600000005</v>
      </c>
      <c r="AA215" s="454">
        <f t="shared" si="3"/>
        <v>73604.92319999999</v>
      </c>
      <c r="AB215" s="454">
        <f t="shared" si="3"/>
        <v>74986.761600000013</v>
      </c>
      <c r="AC215" s="454">
        <f t="shared" si="3"/>
        <v>76368.391199999998</v>
      </c>
      <c r="AD215" s="454">
        <f t="shared" si="3"/>
        <v>78430.082399999999</v>
      </c>
      <c r="AE215" s="454">
        <f t="shared" si="3"/>
        <v>79811.920800000007</v>
      </c>
      <c r="AF215" s="454">
        <f t="shared" si="3"/>
        <v>81171.626400000008</v>
      </c>
      <c r="AG215" s="454">
        <f t="shared" si="3"/>
        <v>83233.317599999995</v>
      </c>
      <c r="AH215" s="454">
        <f t="shared" si="3"/>
        <v>84614.947199999995</v>
      </c>
      <c r="AI215" s="454">
        <f t="shared" si="3"/>
        <v>85996.785600000003</v>
      </c>
      <c r="AJ215" s="454">
        <f t="shared" si="3"/>
        <v>88058.476800000004</v>
      </c>
      <c r="AK215" s="454">
        <f t="shared" si="3"/>
        <v>89440.10639999999</v>
      </c>
      <c r="AL215" s="454">
        <f t="shared" si="3"/>
        <v>90800.020800000013</v>
      </c>
      <c r="AM215" s="454">
        <f t="shared" si="3"/>
        <v>92181.650399999999</v>
      </c>
      <c r="AN215" s="454">
        <f t="shared" si="2"/>
        <v>94243.3416</v>
      </c>
      <c r="AO215" s="454">
        <f t="shared" si="2"/>
        <v>94243.3416</v>
      </c>
      <c r="AP215" s="454">
        <f t="shared" si="2"/>
        <v>94243.3416</v>
      </c>
      <c r="AQ215" s="454">
        <f t="shared" si="2"/>
        <v>94243.3416</v>
      </c>
      <c r="AR215" s="454">
        <f t="shared" si="2"/>
        <v>95624.9712</v>
      </c>
    </row>
    <row r="216" spans="1:44" ht="15" customHeight="1" x14ac:dyDescent="0.35">
      <c r="A216" s="305"/>
      <c r="B216" s="440">
        <v>34.505600000000001</v>
      </c>
      <c r="C216" s="441">
        <v>35.198900000000002</v>
      </c>
      <c r="D216" s="441">
        <v>36.228299999999997</v>
      </c>
      <c r="E216" s="441">
        <v>36.921599999999998</v>
      </c>
      <c r="F216" s="441">
        <v>37.614800000000002</v>
      </c>
      <c r="G216" s="441">
        <v>38.297600000000003</v>
      </c>
      <c r="H216" s="441">
        <v>39.337499999999999</v>
      </c>
      <c r="I216" s="441">
        <v>40.030700000000003</v>
      </c>
      <c r="J216" s="441">
        <v>40.713500000000003</v>
      </c>
      <c r="K216" s="441">
        <v>41.753399999999999</v>
      </c>
      <c r="L216" s="441">
        <v>42.4467</v>
      </c>
      <c r="M216" s="441">
        <v>43.129399999999997</v>
      </c>
      <c r="N216" s="441">
        <v>44.1693</v>
      </c>
      <c r="O216" s="441">
        <v>44.8626</v>
      </c>
      <c r="P216" s="441">
        <v>45.545299999999997</v>
      </c>
      <c r="Q216" s="441">
        <v>46.238599999999998</v>
      </c>
      <c r="R216" s="441">
        <v>47.268000000000001</v>
      </c>
      <c r="S216" s="441">
        <v>47.268000000000001</v>
      </c>
      <c r="T216" s="441">
        <v>47.268000000000001</v>
      </c>
      <c r="U216" s="441">
        <v>47.268000000000001</v>
      </c>
      <c r="V216" s="442">
        <v>47.961300000000001</v>
      </c>
      <c r="W216" s="435">
        <v>31</v>
      </c>
      <c r="X216" s="454">
        <f t="shared" si="4"/>
        <v>72047.692800000004</v>
      </c>
      <c r="Y216" s="454">
        <f t="shared" si="4"/>
        <v>73495.303200000009</v>
      </c>
      <c r="Z216" s="454">
        <f t="shared" si="4"/>
        <v>75644.690399999992</v>
      </c>
      <c r="AA216" s="454">
        <f t="shared" si="3"/>
        <v>77092.300799999997</v>
      </c>
      <c r="AB216" s="454">
        <f t="shared" si="3"/>
        <v>78539.702400000009</v>
      </c>
      <c r="AC216" s="454">
        <f t="shared" si="3"/>
        <v>79965.388800000001</v>
      </c>
      <c r="AD216" s="454">
        <f t="shared" si="3"/>
        <v>82136.7</v>
      </c>
      <c r="AE216" s="454">
        <f t="shared" si="3"/>
        <v>83584.101600000009</v>
      </c>
      <c r="AF216" s="454">
        <f t="shared" si="3"/>
        <v>85009.788</v>
      </c>
      <c r="AG216" s="454">
        <f t="shared" si="3"/>
        <v>87181.099199999997</v>
      </c>
      <c r="AH216" s="454">
        <f t="shared" si="3"/>
        <v>88628.709600000002</v>
      </c>
      <c r="AI216" s="454">
        <f t="shared" si="3"/>
        <v>90054.1872</v>
      </c>
      <c r="AJ216" s="454">
        <f t="shared" si="3"/>
        <v>92225.498399999997</v>
      </c>
      <c r="AK216" s="454">
        <f t="shared" si="3"/>
        <v>93673.108800000002</v>
      </c>
      <c r="AL216" s="454">
        <f t="shared" si="3"/>
        <v>95098.5864</v>
      </c>
      <c r="AM216" s="454">
        <f t="shared" si="3"/>
        <v>96546.196799999991</v>
      </c>
      <c r="AN216" s="454">
        <f t="shared" si="2"/>
        <v>98695.584000000003</v>
      </c>
      <c r="AO216" s="454">
        <f t="shared" si="2"/>
        <v>98695.584000000003</v>
      </c>
      <c r="AP216" s="454">
        <f t="shared" si="2"/>
        <v>98695.584000000003</v>
      </c>
      <c r="AQ216" s="454">
        <f t="shared" si="2"/>
        <v>98695.584000000003</v>
      </c>
      <c r="AR216" s="454">
        <f t="shared" si="2"/>
        <v>100143.19440000001</v>
      </c>
    </row>
    <row r="217" spans="1:44" ht="15" customHeight="1" x14ac:dyDescent="0.35">
      <c r="A217" s="305"/>
      <c r="B217" s="440">
        <v>36.427900000000001</v>
      </c>
      <c r="C217" s="441">
        <v>37.1526</v>
      </c>
      <c r="D217" s="441">
        <v>38.245100000000001</v>
      </c>
      <c r="E217" s="441">
        <v>38.9803</v>
      </c>
      <c r="F217" s="441">
        <v>39.705100000000002</v>
      </c>
      <c r="G217" s="441">
        <v>40.429900000000004</v>
      </c>
      <c r="H217" s="441">
        <v>41.532800000000002</v>
      </c>
      <c r="I217" s="441">
        <v>42.257599999999996</v>
      </c>
      <c r="J217" s="441">
        <v>42.982399999999998</v>
      </c>
      <c r="K217" s="441">
        <v>44.074800000000003</v>
      </c>
      <c r="L217" s="441">
        <v>44.810099999999998</v>
      </c>
      <c r="M217" s="441">
        <v>45.534799999999997</v>
      </c>
      <c r="N217" s="441">
        <v>46.627299999999998</v>
      </c>
      <c r="O217" s="441">
        <v>47.351999999999997</v>
      </c>
      <c r="P217" s="441">
        <v>48.087299999999999</v>
      </c>
      <c r="Q217" s="441">
        <v>48.812100000000001</v>
      </c>
      <c r="R217" s="441">
        <v>49.904499999999999</v>
      </c>
      <c r="S217" s="441">
        <v>49.904499999999999</v>
      </c>
      <c r="T217" s="441">
        <v>49.904499999999999</v>
      </c>
      <c r="U217" s="441">
        <v>49.904499999999999</v>
      </c>
      <c r="V217" s="442">
        <v>50.639800000000001</v>
      </c>
      <c r="W217" s="435">
        <v>32</v>
      </c>
      <c r="X217" s="454">
        <f t="shared" si="4"/>
        <v>76061.455199999997</v>
      </c>
      <c r="Y217" s="454">
        <f t="shared" si="4"/>
        <v>77574.628800000006</v>
      </c>
      <c r="Z217" s="454">
        <f t="shared" si="4"/>
        <v>79855.768800000005</v>
      </c>
      <c r="AA217" s="454">
        <f t="shared" si="3"/>
        <v>81390.866399999999</v>
      </c>
      <c r="AB217" s="454">
        <f t="shared" si="3"/>
        <v>82904.248800000001</v>
      </c>
      <c r="AC217" s="454">
        <f t="shared" si="3"/>
        <v>84417.631200000003</v>
      </c>
      <c r="AD217" s="454">
        <f t="shared" si="3"/>
        <v>86720.486400000009</v>
      </c>
      <c r="AE217" s="454">
        <f t="shared" si="3"/>
        <v>88233.868799999997</v>
      </c>
      <c r="AF217" s="454">
        <f t="shared" si="3"/>
        <v>89747.251199999999</v>
      </c>
      <c r="AG217" s="454">
        <f t="shared" si="3"/>
        <v>92028.182400000005</v>
      </c>
      <c r="AH217" s="454">
        <f t="shared" si="3"/>
        <v>93563.488799999992</v>
      </c>
      <c r="AI217" s="454">
        <f t="shared" si="3"/>
        <v>95076.662400000001</v>
      </c>
      <c r="AJ217" s="454">
        <f t="shared" si="3"/>
        <v>97357.8024</v>
      </c>
      <c r="AK217" s="454">
        <f t="shared" si="3"/>
        <v>98870.975999999995</v>
      </c>
      <c r="AL217" s="454">
        <f t="shared" si="3"/>
        <v>100406.2824</v>
      </c>
      <c r="AM217" s="454">
        <f t="shared" si="3"/>
        <v>101919.6648</v>
      </c>
      <c r="AN217" s="454">
        <f t="shared" si="2"/>
        <v>104200.59599999999</v>
      </c>
      <c r="AO217" s="454">
        <f t="shared" si="2"/>
        <v>104200.59599999999</v>
      </c>
      <c r="AP217" s="454">
        <f t="shared" si="2"/>
        <v>104200.59599999999</v>
      </c>
      <c r="AQ217" s="454">
        <f t="shared" si="2"/>
        <v>104200.59599999999</v>
      </c>
      <c r="AR217" s="454">
        <f t="shared" si="2"/>
        <v>105735.90240000001</v>
      </c>
    </row>
    <row r="218" spans="1:44" ht="15" customHeight="1" x14ac:dyDescent="0.35">
      <c r="A218" s="305"/>
      <c r="B218" s="440">
        <v>37.5518</v>
      </c>
      <c r="C218" s="441">
        <v>38.308100000000003</v>
      </c>
      <c r="D218" s="441">
        <v>39.432000000000002</v>
      </c>
      <c r="E218" s="441">
        <v>40.177799999999998</v>
      </c>
      <c r="F218" s="441">
        <v>40.934100000000001</v>
      </c>
      <c r="G218" s="441">
        <v>41.679900000000004</v>
      </c>
      <c r="H218" s="441">
        <v>42.814300000000003</v>
      </c>
      <c r="I218" s="441">
        <v>43.560099999999998</v>
      </c>
      <c r="J218" s="441">
        <v>44.316400000000002</v>
      </c>
      <c r="K218" s="441">
        <v>45.440300000000001</v>
      </c>
      <c r="L218" s="441">
        <v>46.186100000000003</v>
      </c>
      <c r="M218" s="441">
        <v>46.942399999999999</v>
      </c>
      <c r="N218" s="441">
        <v>48.066299999999998</v>
      </c>
      <c r="O218" s="441">
        <v>48.822600000000001</v>
      </c>
      <c r="P218" s="441">
        <v>49.568399999999997</v>
      </c>
      <c r="Q218" s="441">
        <v>50.3247</v>
      </c>
      <c r="R218" s="441">
        <v>51.448599999999999</v>
      </c>
      <c r="S218" s="441">
        <v>51.448599999999999</v>
      </c>
      <c r="T218" s="441">
        <v>51.448599999999999</v>
      </c>
      <c r="U218" s="441">
        <v>51.448599999999999</v>
      </c>
      <c r="V218" s="442">
        <v>52.194400000000002</v>
      </c>
      <c r="W218" s="435">
        <v>33</v>
      </c>
      <c r="X218" s="454">
        <f t="shared" si="4"/>
        <v>78408.1584</v>
      </c>
      <c r="Y218" s="454">
        <f t="shared" si="4"/>
        <v>79987.3128</v>
      </c>
      <c r="Z218" s="454">
        <f t="shared" si="4"/>
        <v>82334.016000000003</v>
      </c>
      <c r="AA218" s="454">
        <f t="shared" si="3"/>
        <v>83891.246399999989</v>
      </c>
      <c r="AB218" s="454">
        <f t="shared" si="3"/>
        <v>85470.400800000003</v>
      </c>
      <c r="AC218" s="454">
        <f t="shared" si="3"/>
        <v>87027.631200000003</v>
      </c>
      <c r="AD218" s="454">
        <f t="shared" si="3"/>
        <v>89396.258400000006</v>
      </c>
      <c r="AE218" s="454">
        <f t="shared" si="3"/>
        <v>90953.488799999992</v>
      </c>
      <c r="AF218" s="454">
        <f t="shared" si="3"/>
        <v>92532.643200000006</v>
      </c>
      <c r="AG218" s="454">
        <f t="shared" si="3"/>
        <v>94879.346399999995</v>
      </c>
      <c r="AH218" s="454">
        <f t="shared" si="3"/>
        <v>96436.57680000001</v>
      </c>
      <c r="AI218" s="454">
        <f t="shared" si="3"/>
        <v>98015.731199999995</v>
      </c>
      <c r="AJ218" s="454">
        <f t="shared" si="3"/>
        <v>100362.4344</v>
      </c>
      <c r="AK218" s="454">
        <f t="shared" si="3"/>
        <v>101941.5888</v>
      </c>
      <c r="AL218" s="454">
        <f t="shared" si="3"/>
        <v>103498.8192</v>
      </c>
      <c r="AM218" s="454">
        <f t="shared" si="3"/>
        <v>105077.9736</v>
      </c>
      <c r="AN218" s="454">
        <f t="shared" si="2"/>
        <v>107424.6768</v>
      </c>
      <c r="AO218" s="454">
        <f t="shared" si="2"/>
        <v>107424.6768</v>
      </c>
      <c r="AP218" s="454">
        <f t="shared" si="2"/>
        <v>107424.6768</v>
      </c>
      <c r="AQ218" s="454">
        <f t="shared" si="2"/>
        <v>107424.6768</v>
      </c>
      <c r="AR218" s="454">
        <f t="shared" si="2"/>
        <v>108981.9072</v>
      </c>
    </row>
    <row r="219" spans="1:44" ht="15" customHeight="1" x14ac:dyDescent="0.35">
      <c r="A219" s="305"/>
      <c r="B219" s="440">
        <v>38.9803</v>
      </c>
      <c r="C219" s="441">
        <v>39.757599999999996</v>
      </c>
      <c r="D219" s="441">
        <v>40.9236</v>
      </c>
      <c r="E219" s="441">
        <v>41.711399999999998</v>
      </c>
      <c r="F219" s="441">
        <v>42.488700000000001</v>
      </c>
      <c r="G219" s="441">
        <v>43.265999999999998</v>
      </c>
      <c r="H219" s="441">
        <v>44.431899999999999</v>
      </c>
      <c r="I219" s="441">
        <v>45.209200000000003</v>
      </c>
      <c r="J219" s="441">
        <v>45.997</v>
      </c>
      <c r="K219" s="441">
        <v>47.162999999999997</v>
      </c>
      <c r="L219" s="441">
        <v>47.940300000000001</v>
      </c>
      <c r="M219" s="441">
        <v>48.717599999999997</v>
      </c>
      <c r="N219" s="441">
        <v>49.893999999999998</v>
      </c>
      <c r="O219" s="441">
        <v>50.671300000000002</v>
      </c>
      <c r="P219" s="441">
        <v>51.448599999999999</v>
      </c>
      <c r="Q219" s="441">
        <v>52.225900000000003</v>
      </c>
      <c r="R219" s="441">
        <v>53.402299999999997</v>
      </c>
      <c r="S219" s="441">
        <v>53.402299999999997</v>
      </c>
      <c r="T219" s="441">
        <v>53.402299999999997</v>
      </c>
      <c r="U219" s="441">
        <v>53.402299999999997</v>
      </c>
      <c r="V219" s="442">
        <v>54.179600000000001</v>
      </c>
      <c r="W219" s="435">
        <v>34</v>
      </c>
      <c r="X219" s="454">
        <f t="shared" si="4"/>
        <v>81390.866399999999</v>
      </c>
      <c r="Y219" s="454">
        <f t="shared" si="4"/>
        <v>83013.868799999997</v>
      </c>
      <c r="Z219" s="454">
        <f t="shared" si="4"/>
        <v>85448.476800000004</v>
      </c>
      <c r="AA219" s="454">
        <f t="shared" si="3"/>
        <v>87093.403200000001</v>
      </c>
      <c r="AB219" s="454">
        <f t="shared" si="3"/>
        <v>88716.405599999998</v>
      </c>
      <c r="AC219" s="454">
        <f t="shared" si="3"/>
        <v>90339.407999999996</v>
      </c>
      <c r="AD219" s="454">
        <f t="shared" si="3"/>
        <v>92773.807199999996</v>
      </c>
      <c r="AE219" s="454">
        <f t="shared" si="3"/>
        <v>94396.809600000008</v>
      </c>
      <c r="AF219" s="454">
        <f t="shared" si="3"/>
        <v>96041.736000000004</v>
      </c>
      <c r="AG219" s="454">
        <f t="shared" si="3"/>
        <v>98476.343999999997</v>
      </c>
      <c r="AH219" s="454">
        <f t="shared" si="3"/>
        <v>100099.34639999999</v>
      </c>
      <c r="AI219" s="454">
        <f t="shared" si="3"/>
        <v>101722.34879999999</v>
      </c>
      <c r="AJ219" s="454">
        <f t="shared" si="3"/>
        <v>104178.67199999999</v>
      </c>
      <c r="AK219" s="454">
        <f t="shared" si="3"/>
        <v>105801.6744</v>
      </c>
      <c r="AL219" s="454">
        <f t="shared" si="3"/>
        <v>107424.6768</v>
      </c>
      <c r="AM219" s="454">
        <f t="shared" si="3"/>
        <v>109047.67920000001</v>
      </c>
      <c r="AN219" s="454">
        <f t="shared" si="2"/>
        <v>111504.0024</v>
      </c>
      <c r="AO219" s="454">
        <f t="shared" si="2"/>
        <v>111504.0024</v>
      </c>
      <c r="AP219" s="454">
        <f t="shared" si="2"/>
        <v>111504.0024</v>
      </c>
      <c r="AQ219" s="454">
        <f t="shared" si="2"/>
        <v>111504.0024</v>
      </c>
      <c r="AR219" s="454">
        <f t="shared" si="2"/>
        <v>113127.0048</v>
      </c>
    </row>
    <row r="220" spans="1:44" ht="15" customHeight="1" x14ac:dyDescent="0.35">
      <c r="A220" s="305"/>
      <c r="B220" s="440">
        <v>41.711399999999998</v>
      </c>
      <c r="C220" s="441">
        <v>42.541200000000003</v>
      </c>
      <c r="D220" s="441">
        <v>43.791200000000003</v>
      </c>
      <c r="E220" s="441">
        <v>44.621000000000002</v>
      </c>
      <c r="F220" s="441">
        <v>45.461300000000001</v>
      </c>
      <c r="G220" s="441">
        <v>46.2911</v>
      </c>
      <c r="H220" s="441">
        <v>47.5411</v>
      </c>
      <c r="I220" s="441">
        <v>48.381399999999999</v>
      </c>
      <c r="J220" s="441">
        <v>49.211199999999998</v>
      </c>
      <c r="K220" s="441">
        <v>50.461199999999998</v>
      </c>
      <c r="L220" s="441">
        <v>51.301499999999997</v>
      </c>
      <c r="M220" s="441">
        <v>52.131399999999999</v>
      </c>
      <c r="N220" s="441">
        <v>53.381300000000003</v>
      </c>
      <c r="O220" s="441">
        <v>54.221600000000002</v>
      </c>
      <c r="P220" s="441">
        <v>55.051499999999997</v>
      </c>
      <c r="Q220" s="441">
        <v>55.881300000000003</v>
      </c>
      <c r="R220" s="441">
        <v>57.141800000000003</v>
      </c>
      <c r="S220" s="441">
        <v>57.141800000000003</v>
      </c>
      <c r="T220" s="441">
        <v>57.141800000000003</v>
      </c>
      <c r="U220" s="441">
        <v>57.141800000000003</v>
      </c>
      <c r="V220" s="442">
        <v>57.971600000000002</v>
      </c>
      <c r="W220" s="435">
        <v>35</v>
      </c>
      <c r="X220" s="454">
        <f t="shared" si="4"/>
        <v>87093.403200000001</v>
      </c>
      <c r="Y220" s="454">
        <f t="shared" si="4"/>
        <v>88826.025600000008</v>
      </c>
      <c r="Z220" s="454">
        <f t="shared" si="4"/>
        <v>91436.025600000008</v>
      </c>
      <c r="AA220" s="454">
        <f t="shared" si="3"/>
        <v>93168.648000000001</v>
      </c>
      <c r="AB220" s="454">
        <f t="shared" si="3"/>
        <v>94923.194400000008</v>
      </c>
      <c r="AC220" s="454">
        <f t="shared" si="3"/>
        <v>96655.816800000001</v>
      </c>
      <c r="AD220" s="454">
        <f t="shared" si="3"/>
        <v>99265.816800000001</v>
      </c>
      <c r="AE220" s="454">
        <f t="shared" si="3"/>
        <v>101020.36319999999</v>
      </c>
      <c r="AF220" s="454">
        <f t="shared" si="3"/>
        <v>102752.9856</v>
      </c>
      <c r="AG220" s="454">
        <f t="shared" si="3"/>
        <v>105362.9856</v>
      </c>
      <c r="AH220" s="454">
        <f t="shared" si="3"/>
        <v>107117.53199999999</v>
      </c>
      <c r="AI220" s="454">
        <f t="shared" si="3"/>
        <v>108850.36319999999</v>
      </c>
      <c r="AJ220" s="454">
        <f t="shared" si="3"/>
        <v>111460.1544</v>
      </c>
      <c r="AK220" s="454">
        <f t="shared" si="3"/>
        <v>113214.70080000001</v>
      </c>
      <c r="AL220" s="454">
        <f t="shared" si="3"/>
        <v>114947.53199999999</v>
      </c>
      <c r="AM220" s="454">
        <f t="shared" si="3"/>
        <v>116680.1544</v>
      </c>
      <c r="AN220" s="454">
        <f t="shared" si="2"/>
        <v>119312.07840000001</v>
      </c>
      <c r="AO220" s="454">
        <f t="shared" si="2"/>
        <v>119312.07840000001</v>
      </c>
      <c r="AP220" s="454">
        <f t="shared" si="2"/>
        <v>119312.07840000001</v>
      </c>
      <c r="AQ220" s="454">
        <f t="shared" si="2"/>
        <v>119312.07840000001</v>
      </c>
      <c r="AR220" s="454">
        <f t="shared" si="2"/>
        <v>121044.70080000001</v>
      </c>
    </row>
    <row r="221" spans="1:44" ht="15" customHeight="1" x14ac:dyDescent="0.35">
      <c r="A221" s="305"/>
      <c r="B221" s="440">
        <v>48.633499999999998</v>
      </c>
      <c r="C221" s="441">
        <v>49.610399999999998</v>
      </c>
      <c r="D221" s="441">
        <v>51.070399999999999</v>
      </c>
      <c r="E221" s="441">
        <v>52.036799999999999</v>
      </c>
      <c r="F221" s="441">
        <v>53.0137</v>
      </c>
      <c r="G221" s="441">
        <v>53.9801</v>
      </c>
      <c r="H221" s="441">
        <v>55.440100000000001</v>
      </c>
      <c r="I221" s="441">
        <v>56.417000000000002</v>
      </c>
      <c r="J221" s="441">
        <v>57.383400000000002</v>
      </c>
      <c r="K221" s="441">
        <v>58.843400000000003</v>
      </c>
      <c r="L221" s="441">
        <v>59.820300000000003</v>
      </c>
      <c r="M221" s="441">
        <v>60.797199999999997</v>
      </c>
      <c r="N221" s="441">
        <v>62.246699999999997</v>
      </c>
      <c r="O221" s="441">
        <v>63.223599999999998</v>
      </c>
      <c r="P221" s="441">
        <v>64.200400000000002</v>
      </c>
      <c r="Q221" s="441">
        <v>65.166799999999995</v>
      </c>
      <c r="R221" s="441">
        <v>66.626900000000006</v>
      </c>
      <c r="S221" s="441">
        <v>66.626900000000006</v>
      </c>
      <c r="T221" s="441">
        <v>66.626900000000006</v>
      </c>
      <c r="U221" s="441">
        <v>66.626900000000006</v>
      </c>
      <c r="V221" s="442">
        <v>67.603700000000003</v>
      </c>
      <c r="W221" s="435">
        <v>36</v>
      </c>
      <c r="X221" s="454">
        <f t="shared" si="4"/>
        <v>101546.74799999999</v>
      </c>
      <c r="Y221" s="454">
        <f t="shared" si="4"/>
        <v>103586.51519999999</v>
      </c>
      <c r="Z221" s="454">
        <f t="shared" si="4"/>
        <v>106634.9952</v>
      </c>
      <c r="AA221" s="454">
        <f t="shared" si="3"/>
        <v>108652.83839999999</v>
      </c>
      <c r="AB221" s="454">
        <f t="shared" si="3"/>
        <v>110692.6056</v>
      </c>
      <c r="AC221" s="454">
        <f t="shared" si="3"/>
        <v>112710.4488</v>
      </c>
      <c r="AD221" s="454">
        <f t="shared" si="3"/>
        <v>115758.92880000001</v>
      </c>
      <c r="AE221" s="454">
        <f t="shared" si="3"/>
        <v>117798.696</v>
      </c>
      <c r="AF221" s="454">
        <f t="shared" si="3"/>
        <v>119816.5392</v>
      </c>
      <c r="AG221" s="454">
        <f t="shared" si="3"/>
        <v>122865.01920000001</v>
      </c>
      <c r="AH221" s="454">
        <f t="shared" si="3"/>
        <v>124904.78640000001</v>
      </c>
      <c r="AI221" s="454">
        <f t="shared" si="3"/>
        <v>126944.5536</v>
      </c>
      <c r="AJ221" s="454">
        <f t="shared" si="3"/>
        <v>129971.1096</v>
      </c>
      <c r="AK221" s="454">
        <f t="shared" si="3"/>
        <v>132010.8768</v>
      </c>
      <c r="AL221" s="454">
        <f t="shared" si="3"/>
        <v>134050.43520000001</v>
      </c>
      <c r="AM221" s="454">
        <f t="shared" si="3"/>
        <v>136068.27839999998</v>
      </c>
      <c r="AN221" s="454">
        <f t="shared" si="2"/>
        <v>139116.96720000001</v>
      </c>
      <c r="AO221" s="454">
        <f t="shared" si="2"/>
        <v>139116.96720000001</v>
      </c>
      <c r="AP221" s="454">
        <f t="shared" si="2"/>
        <v>139116.96720000001</v>
      </c>
      <c r="AQ221" s="454">
        <f t="shared" si="2"/>
        <v>139116.96720000001</v>
      </c>
      <c r="AR221" s="454">
        <f t="shared" si="2"/>
        <v>141156.52559999999</v>
      </c>
    </row>
    <row r="222" spans="1:44" ht="15" customHeight="1" x14ac:dyDescent="0.35">
      <c r="A222" s="305"/>
      <c r="B222" s="440">
        <v>53.496899999999997</v>
      </c>
      <c r="C222" s="441">
        <v>54.568300000000001</v>
      </c>
      <c r="D222" s="441">
        <v>56.175400000000003</v>
      </c>
      <c r="E222" s="441">
        <v>57.2468</v>
      </c>
      <c r="F222" s="441">
        <v>58.307699999999997</v>
      </c>
      <c r="G222" s="441">
        <v>59.379100000000001</v>
      </c>
      <c r="H222" s="441">
        <v>60.986199999999997</v>
      </c>
      <c r="I222" s="441">
        <v>62.057600000000001</v>
      </c>
      <c r="J222" s="441">
        <v>63.128999999999998</v>
      </c>
      <c r="K222" s="441">
        <v>64.736199999999997</v>
      </c>
      <c r="L222" s="441">
        <v>65.7971</v>
      </c>
      <c r="M222" s="441">
        <v>66.868499999999997</v>
      </c>
      <c r="N222" s="441">
        <v>68.4756</v>
      </c>
      <c r="O222" s="441">
        <v>69.546999999999997</v>
      </c>
      <c r="P222" s="441">
        <v>70.618399999999994</v>
      </c>
      <c r="Q222" s="441">
        <v>71.689800000000005</v>
      </c>
      <c r="R222" s="441">
        <v>73.2864</v>
      </c>
      <c r="S222" s="441">
        <v>73.2864</v>
      </c>
      <c r="T222" s="441">
        <v>73.2864</v>
      </c>
      <c r="U222" s="441">
        <v>73.2864</v>
      </c>
      <c r="V222" s="442">
        <v>74.357799999999997</v>
      </c>
      <c r="W222" s="435">
        <v>37</v>
      </c>
      <c r="X222" s="454">
        <f t="shared" si="4"/>
        <v>111701.5272</v>
      </c>
      <c r="Y222" s="454">
        <f t="shared" si="4"/>
        <v>113938.61040000001</v>
      </c>
      <c r="Z222" s="454">
        <f t="shared" si="4"/>
        <v>117294.23520000001</v>
      </c>
      <c r="AA222" s="454">
        <f t="shared" si="3"/>
        <v>119531.3184</v>
      </c>
      <c r="AB222" s="454">
        <f t="shared" si="3"/>
        <v>121746.4776</v>
      </c>
      <c r="AC222" s="454">
        <f t="shared" si="3"/>
        <v>123983.56080000001</v>
      </c>
      <c r="AD222" s="454">
        <f t="shared" si="3"/>
        <v>127339.1856</v>
      </c>
      <c r="AE222" s="454">
        <f t="shared" si="3"/>
        <v>129576.26880000001</v>
      </c>
      <c r="AF222" s="454">
        <f t="shared" si="3"/>
        <v>131813.35199999998</v>
      </c>
      <c r="AG222" s="454">
        <f t="shared" si="3"/>
        <v>135169.1856</v>
      </c>
      <c r="AH222" s="454">
        <f t="shared" si="3"/>
        <v>137384.34479999999</v>
      </c>
      <c r="AI222" s="454">
        <f t="shared" si="3"/>
        <v>139621.42799999999</v>
      </c>
      <c r="AJ222" s="454">
        <f t="shared" si="3"/>
        <v>142977.0528</v>
      </c>
      <c r="AK222" s="454">
        <f t="shared" si="3"/>
        <v>145214.136</v>
      </c>
      <c r="AL222" s="454">
        <f t="shared" si="3"/>
        <v>147451.21919999999</v>
      </c>
      <c r="AM222" s="454">
        <f t="shared" si="3"/>
        <v>149688.30240000002</v>
      </c>
      <c r="AN222" s="454">
        <f t="shared" si="2"/>
        <v>153022.00320000001</v>
      </c>
      <c r="AO222" s="454">
        <f t="shared" si="2"/>
        <v>153022.00320000001</v>
      </c>
      <c r="AP222" s="454">
        <f t="shared" si="2"/>
        <v>153022.00320000001</v>
      </c>
      <c r="AQ222" s="454">
        <f t="shared" si="2"/>
        <v>153022.00320000001</v>
      </c>
      <c r="AR222" s="454">
        <f t="shared" si="2"/>
        <v>155259.0864</v>
      </c>
    </row>
    <row r="223" spans="1:44" ht="15" customHeight="1" thickBot="1" x14ac:dyDescent="0.4">
      <c r="A223" s="305"/>
      <c r="B223" s="443">
        <v>61.521900000000002</v>
      </c>
      <c r="C223" s="444">
        <v>62.750900000000001</v>
      </c>
      <c r="D223" s="444">
        <v>64.599599999999995</v>
      </c>
      <c r="E223" s="444">
        <v>65.828599999999994</v>
      </c>
      <c r="F223" s="444">
        <v>67.057500000000005</v>
      </c>
      <c r="G223" s="444">
        <v>68.286500000000004</v>
      </c>
      <c r="H223" s="444">
        <v>70.135199999999998</v>
      </c>
      <c r="I223" s="444">
        <v>71.364199999999997</v>
      </c>
      <c r="J223" s="444">
        <v>72.593100000000007</v>
      </c>
      <c r="K223" s="444">
        <v>74.441800000000001</v>
      </c>
      <c r="L223" s="444">
        <v>75.6708</v>
      </c>
      <c r="M223" s="444">
        <v>76.899799999999999</v>
      </c>
      <c r="N223" s="444">
        <v>78.748500000000007</v>
      </c>
      <c r="O223" s="444">
        <v>79.977500000000006</v>
      </c>
      <c r="P223" s="444">
        <v>81.206400000000002</v>
      </c>
      <c r="Q223" s="444">
        <v>82.435400000000001</v>
      </c>
      <c r="R223" s="444">
        <v>84.284099999999995</v>
      </c>
      <c r="S223" s="444">
        <v>84.284099999999995</v>
      </c>
      <c r="T223" s="444">
        <v>84.284099999999995</v>
      </c>
      <c r="U223" s="444">
        <v>84.284099999999995</v>
      </c>
      <c r="V223" s="445">
        <v>85.513099999999994</v>
      </c>
      <c r="W223" s="436">
        <v>38</v>
      </c>
      <c r="X223" s="454">
        <f t="shared" si="4"/>
        <v>128457.72720000001</v>
      </c>
      <c r="Y223" s="454">
        <f t="shared" si="4"/>
        <v>131023.8792</v>
      </c>
      <c r="Z223" s="454">
        <f t="shared" si="4"/>
        <v>134883.96479999999</v>
      </c>
      <c r="AA223" s="454">
        <f t="shared" si="3"/>
        <v>137450.11679999999</v>
      </c>
      <c r="AB223" s="454">
        <f t="shared" si="3"/>
        <v>140016.06</v>
      </c>
      <c r="AC223" s="454">
        <f t="shared" si="3"/>
        <v>142582.212</v>
      </c>
      <c r="AD223" s="454">
        <f t="shared" si="3"/>
        <v>146442.29759999999</v>
      </c>
      <c r="AE223" s="454">
        <f t="shared" si="3"/>
        <v>149008.44959999999</v>
      </c>
      <c r="AF223" s="454">
        <f t="shared" si="3"/>
        <v>151574.3928</v>
      </c>
      <c r="AG223" s="454">
        <f t="shared" si="3"/>
        <v>155434.47839999999</v>
      </c>
      <c r="AH223" s="454">
        <f t="shared" si="3"/>
        <v>158000.63039999999</v>
      </c>
      <c r="AI223" s="454">
        <f t="shared" si="3"/>
        <v>160566.7824</v>
      </c>
      <c r="AJ223" s="454">
        <f t="shared" si="3"/>
        <v>164426.86800000002</v>
      </c>
      <c r="AK223" s="454">
        <f t="shared" si="3"/>
        <v>166993.02000000002</v>
      </c>
      <c r="AL223" s="454">
        <f t="shared" si="3"/>
        <v>169558.9632</v>
      </c>
      <c r="AM223" s="454">
        <f t="shared" si="3"/>
        <v>172125.1152</v>
      </c>
      <c r="AN223" s="454">
        <f t="shared" si="2"/>
        <v>175985.20079999999</v>
      </c>
      <c r="AO223" s="454">
        <f t="shared" si="2"/>
        <v>175985.20079999999</v>
      </c>
      <c r="AP223" s="454">
        <f t="shared" si="2"/>
        <v>175985.20079999999</v>
      </c>
      <c r="AQ223" s="454">
        <f t="shared" si="2"/>
        <v>175985.20079999999</v>
      </c>
      <c r="AR223" s="454">
        <f t="shared" si="2"/>
        <v>178551.35279999999</v>
      </c>
    </row>
  </sheetData>
  <mergeCells count="3">
    <mergeCell ref="G4:I4"/>
    <mergeCell ref="A1:K1"/>
    <mergeCell ref="A22:K22"/>
  </mergeCells>
  <phoneticPr fontId="5" type="noConversion"/>
  <printOptions horizontalCentered="1"/>
  <pageMargins left="0.75" right="0.75" top="1" bottom="1" header="0.5" footer="0.5"/>
  <pageSetup scale="73" fitToHeight="0" orientation="landscape" r:id="rId1"/>
  <headerFooter alignWithMargins="0">
    <oddHeader>&amp;C&amp;"Arial,Bold"&amp;14Salary Matrix</oddHeader>
    <oddFooter>&amp;L&amp;"Arial,Bold"&amp;F&amp;R&amp;"Arial,Bold"Appendix C-16</oddFooter>
  </headerFooter>
  <rowBreaks count="4" manualBreakCount="4">
    <brk id="45" max="16383" man="1"/>
    <brk id="73" max="16383" man="1"/>
    <brk id="113" max="16383" man="1"/>
    <brk id="15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A2833-1855-46DE-8949-F88A13561390}">
  <dimension ref="A1:C26"/>
  <sheetViews>
    <sheetView workbookViewId="0">
      <selection activeCell="C17" sqref="C17"/>
    </sheetView>
  </sheetViews>
  <sheetFormatPr defaultColWidth="8.81640625" defaultRowHeight="15.5" x14ac:dyDescent="0.35"/>
  <cols>
    <col min="1" max="1" width="15.1796875" style="318" customWidth="1"/>
    <col min="2" max="2" width="8.81640625" style="318"/>
    <col min="3" max="3" width="26.26953125" style="318" customWidth="1"/>
    <col min="4" max="16384" width="8.81640625" style="318"/>
  </cols>
  <sheetData>
    <row r="1" spans="1:3" ht="16" thickBot="1" x14ac:dyDescent="0.4">
      <c r="A1" s="319" t="s">
        <v>255</v>
      </c>
      <c r="B1" s="319" t="s">
        <v>256</v>
      </c>
      <c r="C1" s="319" t="s">
        <v>259</v>
      </c>
    </row>
    <row r="2" spans="1:3" x14ac:dyDescent="0.35">
      <c r="A2" s="320" t="s">
        <v>257</v>
      </c>
      <c r="B2" s="320">
        <v>1</v>
      </c>
      <c r="C2" s="320" t="s">
        <v>260</v>
      </c>
    </row>
    <row r="3" spans="1:3" x14ac:dyDescent="0.35">
      <c r="A3" s="321" t="s">
        <v>257</v>
      </c>
      <c r="B3" s="321">
        <v>2</v>
      </c>
      <c r="C3" s="321" t="s">
        <v>261</v>
      </c>
    </row>
    <row r="4" spans="1:3" x14ac:dyDescent="0.35">
      <c r="A4" s="321" t="s">
        <v>257</v>
      </c>
      <c r="B4" s="321">
        <v>3</v>
      </c>
      <c r="C4" s="321" t="s">
        <v>293</v>
      </c>
    </row>
    <row r="5" spans="1:3" x14ac:dyDescent="0.35">
      <c r="A5" s="321" t="s">
        <v>257</v>
      </c>
      <c r="B5" s="321">
        <v>4</v>
      </c>
      <c r="C5" s="321" t="s">
        <v>294</v>
      </c>
    </row>
    <row r="6" spans="1:3" x14ac:dyDescent="0.35">
      <c r="A6" s="321" t="s">
        <v>257</v>
      </c>
      <c r="B6" s="321">
        <v>5</v>
      </c>
      <c r="C6" s="321" t="s">
        <v>292</v>
      </c>
    </row>
    <row r="7" spans="1:3" x14ac:dyDescent="0.35">
      <c r="A7" s="321" t="s">
        <v>257</v>
      </c>
      <c r="B7" s="321">
        <v>6</v>
      </c>
      <c r="C7" s="321" t="s">
        <v>262</v>
      </c>
    </row>
    <row r="8" spans="1:3" x14ac:dyDescent="0.35">
      <c r="A8" s="321" t="s">
        <v>257</v>
      </c>
      <c r="B8" s="321">
        <v>7</v>
      </c>
      <c r="C8" s="321" t="s">
        <v>263</v>
      </c>
    </row>
    <row r="9" spans="1:3" x14ac:dyDescent="0.35">
      <c r="A9" s="321" t="s">
        <v>257</v>
      </c>
      <c r="B9" s="321">
        <v>8</v>
      </c>
      <c r="C9" s="321" t="s">
        <v>285</v>
      </c>
    </row>
    <row r="10" spans="1:3" x14ac:dyDescent="0.35">
      <c r="A10" s="321" t="s">
        <v>257</v>
      </c>
      <c r="B10" s="321">
        <v>9</v>
      </c>
      <c r="C10" s="321" t="s">
        <v>264</v>
      </c>
    </row>
    <row r="11" spans="1:3" x14ac:dyDescent="0.35">
      <c r="A11" s="321" t="s">
        <v>257</v>
      </c>
      <c r="B11" s="321">
        <v>10</v>
      </c>
      <c r="C11" s="321" t="s">
        <v>265</v>
      </c>
    </row>
    <row r="12" spans="1:3" x14ac:dyDescent="0.35">
      <c r="A12" s="321" t="s">
        <v>257</v>
      </c>
      <c r="B12" s="321">
        <v>11</v>
      </c>
      <c r="C12" s="321" t="s">
        <v>266</v>
      </c>
    </row>
    <row r="13" spans="1:3" x14ac:dyDescent="0.35">
      <c r="A13" s="321" t="s">
        <v>257</v>
      </c>
      <c r="B13" s="321">
        <v>12</v>
      </c>
      <c r="C13" s="321" t="s">
        <v>267</v>
      </c>
    </row>
    <row r="14" spans="1:3" x14ac:dyDescent="0.35">
      <c r="A14" s="321" t="s">
        <v>257</v>
      </c>
      <c r="B14" s="321">
        <v>13</v>
      </c>
      <c r="C14" s="321" t="s">
        <v>268</v>
      </c>
    </row>
    <row r="15" spans="1:3" x14ac:dyDescent="0.35">
      <c r="A15" s="321" t="s">
        <v>257</v>
      </c>
      <c r="B15" s="321">
        <v>14</v>
      </c>
      <c r="C15" s="321" t="s">
        <v>269</v>
      </c>
    </row>
    <row r="16" spans="1:3" x14ac:dyDescent="0.35">
      <c r="A16" s="321" t="s">
        <v>257</v>
      </c>
      <c r="B16" s="321">
        <v>15</v>
      </c>
      <c r="C16" s="321" t="s">
        <v>270</v>
      </c>
    </row>
    <row r="17" spans="1:3" x14ac:dyDescent="0.35">
      <c r="A17" s="321" t="s">
        <v>257</v>
      </c>
      <c r="B17" s="321">
        <v>16</v>
      </c>
      <c r="C17" s="321" t="s">
        <v>286</v>
      </c>
    </row>
    <row r="18" spans="1:3" x14ac:dyDescent="0.35">
      <c r="A18" s="321" t="s">
        <v>257</v>
      </c>
      <c r="B18" s="321">
        <v>17</v>
      </c>
      <c r="C18" s="321" t="s">
        <v>287</v>
      </c>
    </row>
    <row r="19" spans="1:3" ht="16" thickBot="1" x14ac:dyDescent="0.4">
      <c r="A19" s="322" t="s">
        <v>257</v>
      </c>
      <c r="B19" s="322">
        <v>18</v>
      </c>
      <c r="C19" s="322" t="s">
        <v>172</v>
      </c>
    </row>
    <row r="20" spans="1:3" x14ac:dyDescent="0.35">
      <c r="A20" s="321" t="s">
        <v>258</v>
      </c>
      <c r="B20" s="321">
        <v>1</v>
      </c>
      <c r="C20" s="323" t="s">
        <v>271</v>
      </c>
    </row>
    <row r="21" spans="1:3" x14ac:dyDescent="0.35">
      <c r="A21" s="321" t="s">
        <v>258</v>
      </c>
      <c r="B21" s="321">
        <v>2</v>
      </c>
      <c r="C21" s="323" t="s">
        <v>271</v>
      </c>
    </row>
    <row r="22" spans="1:3" x14ac:dyDescent="0.35">
      <c r="A22" s="321" t="s">
        <v>258</v>
      </c>
      <c r="B22" s="321">
        <v>3</v>
      </c>
      <c r="C22" s="323" t="s">
        <v>272</v>
      </c>
    </row>
    <row r="23" spans="1:3" x14ac:dyDescent="0.35">
      <c r="A23" s="321" t="s">
        <v>258</v>
      </c>
      <c r="B23" s="321">
        <v>4</v>
      </c>
      <c r="C23" s="323" t="s">
        <v>198</v>
      </c>
    </row>
    <row r="24" spans="1:3" x14ac:dyDescent="0.35">
      <c r="A24" s="321" t="s">
        <v>258</v>
      </c>
      <c r="B24" s="321">
        <v>5</v>
      </c>
      <c r="C24" s="323" t="s">
        <v>273</v>
      </c>
    </row>
    <row r="25" spans="1:3" x14ac:dyDescent="0.35">
      <c r="A25" s="321" t="s">
        <v>258</v>
      </c>
      <c r="B25" s="321">
        <v>6</v>
      </c>
      <c r="C25" s="323" t="s">
        <v>274</v>
      </c>
    </row>
    <row r="26" spans="1:3" ht="16" thickBot="1" x14ac:dyDescent="0.4">
      <c r="A26" s="322" t="s">
        <v>258</v>
      </c>
      <c r="B26" s="322">
        <v>7</v>
      </c>
      <c r="C26" s="324" t="s">
        <v>275</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G86"/>
  <sheetViews>
    <sheetView showGridLines="0" showZeros="0" zoomScale="120" zoomScaleNormal="120" workbookViewId="0">
      <selection activeCell="F2" sqref="F2"/>
    </sheetView>
  </sheetViews>
  <sheetFormatPr defaultColWidth="9.1796875" defaultRowHeight="15" customHeight="1" x14ac:dyDescent="0.25"/>
  <cols>
    <col min="1" max="1" width="3.7265625" style="15" customWidth="1"/>
    <col min="2" max="6" width="15.54296875" style="15" customWidth="1"/>
    <col min="7" max="7" width="3.7265625" style="15" customWidth="1"/>
    <col min="8" max="16384" width="9.1796875" style="15"/>
  </cols>
  <sheetData>
    <row r="1" spans="2:6" ht="15" customHeight="1" thickBot="1" x14ac:dyDescent="0.3"/>
    <row r="2" spans="2:6" s="6" customFormat="1" ht="20.149999999999999" customHeight="1" thickBot="1" x14ac:dyDescent="0.4">
      <c r="B2" s="113" t="s">
        <v>221</v>
      </c>
      <c r="C2" s="114"/>
      <c r="D2" s="114"/>
      <c r="E2" s="114"/>
      <c r="F2" s="97" t="str">
        <f>ACCUM!A3</f>
        <v>FY'23</v>
      </c>
    </row>
    <row r="3" spans="2:6" ht="15" customHeight="1" thickBot="1" x14ac:dyDescent="0.35">
      <c r="B3" s="2"/>
    </row>
    <row r="4" spans="2:6" ht="15" customHeight="1" thickBot="1" x14ac:dyDescent="0.35">
      <c r="B4" s="93" t="s">
        <v>82</v>
      </c>
      <c r="C4" s="274" t="s">
        <v>69</v>
      </c>
      <c r="D4" s="274" t="s">
        <v>72</v>
      </c>
      <c r="E4" s="274" t="s">
        <v>50</v>
      </c>
      <c r="F4" s="275" t="s">
        <v>48</v>
      </c>
    </row>
    <row r="5" spans="2:6" ht="15" customHeight="1" x14ac:dyDescent="0.25">
      <c r="B5" s="276">
        <v>1</v>
      </c>
      <c r="C5" s="92">
        <f>+ACCUM!B77</f>
        <v>51737</v>
      </c>
      <c r="D5" s="92">
        <f>+ACCUM!C77</f>
        <v>51737</v>
      </c>
      <c r="E5" s="92">
        <f>+ACCUM!D77</f>
        <v>51737</v>
      </c>
      <c r="F5" s="94">
        <f>+ACCUM!E77</f>
        <v>51737</v>
      </c>
    </row>
    <row r="6" spans="2:6" ht="15" customHeight="1" x14ac:dyDescent="0.25">
      <c r="B6" s="276">
        <v>2</v>
      </c>
      <c r="C6" s="92">
        <f>+ACCUM!B78</f>
        <v>54219</v>
      </c>
      <c r="D6" s="92">
        <f>+ACCUM!C78</f>
        <v>54219</v>
      </c>
      <c r="E6" s="92">
        <f>+ACCUM!D78</f>
        <v>54219</v>
      </c>
      <c r="F6" s="94">
        <f>+ACCUM!E78</f>
        <v>54219</v>
      </c>
    </row>
    <row r="7" spans="2:6" ht="15" customHeight="1" x14ac:dyDescent="0.25">
      <c r="B7" s="276">
        <v>3</v>
      </c>
      <c r="C7" s="92">
        <f>+ACCUM!B79</f>
        <v>56289</v>
      </c>
      <c r="D7" s="92">
        <f>+ACCUM!C79</f>
        <v>56289</v>
      </c>
      <c r="E7" s="92">
        <f>+ACCUM!D79</f>
        <v>56289</v>
      </c>
      <c r="F7" s="94">
        <f>+ACCUM!E79</f>
        <v>56289</v>
      </c>
    </row>
    <row r="8" spans="2:6" ht="15" customHeight="1" x14ac:dyDescent="0.25">
      <c r="B8" s="276">
        <v>4</v>
      </c>
      <c r="C8" s="92">
        <f>+ACCUM!B80</f>
        <v>58772</v>
      </c>
      <c r="D8" s="92">
        <f>+ACCUM!C80</f>
        <v>61256</v>
      </c>
      <c r="E8" s="92">
        <f>+ACCUM!D80</f>
        <v>62084</v>
      </c>
      <c r="F8" s="94">
        <f>+ACCUM!E80</f>
        <v>62084</v>
      </c>
    </row>
    <row r="9" spans="2:6" ht="15" customHeight="1" x14ac:dyDescent="0.25">
      <c r="B9" s="276">
        <v>5</v>
      </c>
      <c r="C9" s="92">
        <f>+ACCUM!B81</f>
        <v>61256</v>
      </c>
      <c r="D9" s="92">
        <f>+ACCUM!C81</f>
        <v>63326</v>
      </c>
      <c r="E9" s="92">
        <f>+ACCUM!D81</f>
        <v>64154</v>
      </c>
      <c r="F9" s="94">
        <f>+ACCUM!E81</f>
        <v>65809</v>
      </c>
    </row>
    <row r="10" spans="2:6" ht="15" customHeight="1" x14ac:dyDescent="0.25">
      <c r="B10" s="276">
        <v>6</v>
      </c>
      <c r="C10" s="92">
        <f>+ACCUM!B82</f>
        <v>63326</v>
      </c>
      <c r="D10" s="92">
        <f>+ACCUM!C82</f>
        <v>65809</v>
      </c>
      <c r="E10" s="92">
        <f>+ACCUM!D82</f>
        <v>66636</v>
      </c>
      <c r="F10" s="94">
        <f>+ACCUM!E82</f>
        <v>68293</v>
      </c>
    </row>
    <row r="11" spans="2:6" ht="15" customHeight="1" x14ac:dyDescent="0.25">
      <c r="B11" s="276">
        <v>7</v>
      </c>
      <c r="C11" s="92">
        <f>+ACCUM!B83</f>
        <v>65809</v>
      </c>
      <c r="D11" s="92">
        <f>+ACCUM!C83</f>
        <v>68293</v>
      </c>
      <c r="E11" s="92">
        <f>+ACCUM!D83</f>
        <v>69120</v>
      </c>
      <c r="F11" s="94">
        <f>+ACCUM!E83</f>
        <v>70362</v>
      </c>
    </row>
    <row r="12" spans="2:6" ht="15" customHeight="1" x14ac:dyDescent="0.25">
      <c r="B12" s="276">
        <v>8</v>
      </c>
      <c r="C12" s="92">
        <f>+ACCUM!B84</f>
        <v>68293</v>
      </c>
      <c r="D12" s="92">
        <f>+ACCUM!C84</f>
        <v>70362</v>
      </c>
      <c r="E12" s="92">
        <f>+ACCUM!D84</f>
        <v>71603</v>
      </c>
      <c r="F12" s="94">
        <f>+ACCUM!E84</f>
        <v>72845</v>
      </c>
    </row>
    <row r="13" spans="2:6" ht="15" customHeight="1" x14ac:dyDescent="0.25">
      <c r="B13" s="276">
        <v>9</v>
      </c>
      <c r="C13" s="92">
        <f>+ACCUM!B85</f>
        <v>69948</v>
      </c>
      <c r="D13" s="92">
        <f>+ACCUM!C85</f>
        <v>72845</v>
      </c>
      <c r="E13" s="92">
        <f>+ACCUM!D85</f>
        <v>73673</v>
      </c>
      <c r="F13" s="94">
        <f>+ACCUM!E85</f>
        <v>75328</v>
      </c>
    </row>
    <row r="14" spans="2:6" ht="15" customHeight="1" x14ac:dyDescent="0.25">
      <c r="B14" s="276">
        <v>10</v>
      </c>
      <c r="C14" s="92">
        <f>+ACCUM!B86</f>
        <v>72018</v>
      </c>
      <c r="D14" s="92">
        <f>+ACCUM!C86</f>
        <v>75328</v>
      </c>
      <c r="E14" s="92">
        <f>+ACCUM!D86</f>
        <v>76156</v>
      </c>
      <c r="F14" s="94">
        <f>+ACCUM!E86</f>
        <v>77398</v>
      </c>
    </row>
    <row r="15" spans="2:6" ht="15" customHeight="1" x14ac:dyDescent="0.25">
      <c r="B15" s="276">
        <v>11</v>
      </c>
      <c r="C15" s="92">
        <f>+ACCUM!B87</f>
        <v>73259</v>
      </c>
      <c r="D15" s="92">
        <f>+ACCUM!C87</f>
        <v>76984</v>
      </c>
      <c r="E15" s="92">
        <f>+ACCUM!D87</f>
        <v>78640</v>
      </c>
      <c r="F15" s="94">
        <f>+ACCUM!E87</f>
        <v>79881</v>
      </c>
    </row>
    <row r="16" spans="2:6" ht="15" customHeight="1" x14ac:dyDescent="0.25">
      <c r="B16" s="276">
        <v>12</v>
      </c>
      <c r="C16" s="92">
        <f>+ACCUM!B88</f>
        <v>74501</v>
      </c>
      <c r="D16" s="92">
        <f>+ACCUM!C88</f>
        <v>79053</v>
      </c>
      <c r="E16" s="92">
        <f>+ACCUM!D88</f>
        <v>80295</v>
      </c>
      <c r="F16" s="94">
        <f>+ACCUM!E88</f>
        <v>82365</v>
      </c>
    </row>
    <row r="17" spans="2:7" ht="15" customHeight="1" x14ac:dyDescent="0.25">
      <c r="B17" s="276">
        <v>13</v>
      </c>
      <c r="C17" s="92">
        <f>+ACCUM!B89</f>
        <v>76156</v>
      </c>
      <c r="D17" s="92">
        <f>+ACCUM!C89</f>
        <v>80710</v>
      </c>
      <c r="E17" s="92">
        <f>+ACCUM!D89</f>
        <v>82365</v>
      </c>
      <c r="F17" s="94">
        <f>+ACCUM!E89</f>
        <v>84434</v>
      </c>
    </row>
    <row r="18" spans="2:7" ht="15" customHeight="1" x14ac:dyDescent="0.25">
      <c r="B18" s="276">
        <v>14</v>
      </c>
      <c r="C18" s="92">
        <f>+ACCUM!B90</f>
        <v>77398</v>
      </c>
      <c r="D18" s="92">
        <f>+ACCUM!C90</f>
        <v>82778</v>
      </c>
      <c r="E18" s="92">
        <f>+ACCUM!D90</f>
        <v>84020</v>
      </c>
      <c r="F18" s="94">
        <f>+ACCUM!E90</f>
        <v>86917</v>
      </c>
    </row>
    <row r="19" spans="2:7" ht="15" customHeight="1" x14ac:dyDescent="0.25">
      <c r="B19" s="276">
        <v>15</v>
      </c>
      <c r="C19" s="92">
        <f>+ACCUM!B91</f>
        <v>79053</v>
      </c>
      <c r="D19" s="92">
        <f>+ACCUM!C91</f>
        <v>84434</v>
      </c>
      <c r="E19" s="92">
        <f>+ACCUM!D91</f>
        <v>86090</v>
      </c>
      <c r="F19" s="94">
        <f>+ACCUM!E91</f>
        <v>89401</v>
      </c>
    </row>
    <row r="20" spans="2:7" ht="15" customHeight="1" x14ac:dyDescent="0.25">
      <c r="B20" s="276">
        <v>16</v>
      </c>
      <c r="C20" s="92">
        <f>+ACCUM!B92</f>
        <v>79053</v>
      </c>
      <c r="D20" s="92">
        <f>+ACCUM!C92</f>
        <v>84434</v>
      </c>
      <c r="E20" s="92">
        <f>+ACCUM!D92</f>
        <v>86090</v>
      </c>
      <c r="F20" s="94">
        <f>+ACCUM!E92</f>
        <v>89401</v>
      </c>
    </row>
    <row r="21" spans="2:7" ht="15" customHeight="1" x14ac:dyDescent="0.25">
      <c r="B21" s="276">
        <v>17</v>
      </c>
      <c r="C21" s="92">
        <f>+ACCUM!B93</f>
        <v>79053</v>
      </c>
      <c r="D21" s="92">
        <f>+ACCUM!C93</f>
        <v>84434</v>
      </c>
      <c r="E21" s="92">
        <f>+ACCUM!D93</f>
        <v>86090</v>
      </c>
      <c r="F21" s="94">
        <f>+ACCUM!E93</f>
        <v>89401</v>
      </c>
    </row>
    <row r="22" spans="2:7" ht="15" customHeight="1" x14ac:dyDescent="0.25">
      <c r="B22" s="276">
        <v>18</v>
      </c>
      <c r="C22" s="92">
        <f>+ACCUM!B94</f>
        <v>79053</v>
      </c>
      <c r="D22" s="92">
        <f>+ACCUM!C94</f>
        <v>84434</v>
      </c>
      <c r="E22" s="92">
        <f>+ACCUM!D94</f>
        <v>86090</v>
      </c>
      <c r="F22" s="94">
        <f>+ACCUM!E94</f>
        <v>89401</v>
      </c>
    </row>
    <row r="23" spans="2:7" ht="15" customHeight="1" x14ac:dyDescent="0.25">
      <c r="B23" s="276">
        <v>19</v>
      </c>
      <c r="C23" s="92">
        <f>+ACCUM!B95</f>
        <v>79053</v>
      </c>
      <c r="D23" s="92">
        <f>+ACCUM!C95</f>
        <v>84434</v>
      </c>
      <c r="E23" s="92">
        <f>+ACCUM!D95</f>
        <v>86089</v>
      </c>
      <c r="F23" s="94">
        <f>+ACCUM!E95</f>
        <v>89401</v>
      </c>
    </row>
    <row r="24" spans="2:7" ht="15" customHeight="1" thickBot="1" x14ac:dyDescent="0.3">
      <c r="B24" s="278">
        <v>20</v>
      </c>
      <c r="C24" s="95">
        <f>+ACCUM!B96</f>
        <v>80710</v>
      </c>
      <c r="D24" s="95">
        <f>+ACCUM!C96</f>
        <v>86090</v>
      </c>
      <c r="E24" s="95">
        <f>+ACCUM!D96</f>
        <v>87745</v>
      </c>
      <c r="F24" s="96">
        <f>+ACCUM!E96</f>
        <v>91056</v>
      </c>
    </row>
    <row r="25" spans="2:7" ht="15" customHeight="1" x14ac:dyDescent="0.3">
      <c r="B25" s="2"/>
    </row>
    <row r="27" spans="2:7" ht="15" customHeight="1" x14ac:dyDescent="0.25">
      <c r="B27" s="19"/>
      <c r="C27" s="19"/>
      <c r="D27" s="19"/>
      <c r="E27" s="19"/>
      <c r="F27" s="19"/>
      <c r="G27" s="19"/>
    </row>
    <row r="28" spans="2:7" ht="15" customHeight="1" x14ac:dyDescent="0.3">
      <c r="B28" s="30"/>
      <c r="C28" s="19"/>
      <c r="D28" s="19"/>
      <c r="E28" s="19"/>
      <c r="F28" s="19"/>
      <c r="G28" s="19"/>
    </row>
    <row r="29" spans="2:7" ht="15" customHeight="1" x14ac:dyDescent="0.3">
      <c r="B29" s="10"/>
      <c r="C29" s="19"/>
      <c r="D29" s="19"/>
      <c r="E29" s="19"/>
      <c r="F29" s="19"/>
      <c r="G29" s="19"/>
    </row>
    <row r="30" spans="2:7" ht="15" customHeight="1" x14ac:dyDescent="0.3">
      <c r="B30" s="21"/>
      <c r="C30" s="21"/>
      <c r="D30" s="21"/>
      <c r="E30" s="21"/>
      <c r="F30" s="21"/>
      <c r="G30" s="19"/>
    </row>
    <row r="31" spans="2:7" ht="15" customHeight="1" x14ac:dyDescent="0.3">
      <c r="B31" s="21"/>
      <c r="C31" s="24"/>
      <c r="D31" s="24"/>
      <c r="E31" s="24"/>
      <c r="F31" s="24"/>
      <c r="G31" s="19"/>
    </row>
    <row r="32" spans="2:7" ht="15" customHeight="1" x14ac:dyDescent="0.3">
      <c r="B32" s="21"/>
      <c r="C32" s="23"/>
      <c r="D32" s="23"/>
      <c r="E32" s="23"/>
      <c r="F32" s="23"/>
      <c r="G32" s="19"/>
    </row>
    <row r="33" spans="2:7" ht="15" customHeight="1" x14ac:dyDescent="0.3">
      <c r="B33" s="21"/>
      <c r="C33" s="23"/>
      <c r="D33" s="23"/>
      <c r="E33" s="23"/>
      <c r="F33" s="23"/>
      <c r="G33" s="19"/>
    </row>
    <row r="34" spans="2:7" ht="15" customHeight="1" x14ac:dyDescent="0.3">
      <c r="B34" s="21"/>
      <c r="C34" s="23"/>
      <c r="D34" s="23"/>
      <c r="E34" s="23"/>
      <c r="F34" s="23"/>
      <c r="G34" s="19"/>
    </row>
    <row r="35" spans="2:7" ht="15" customHeight="1" x14ac:dyDescent="0.3">
      <c r="B35" s="21"/>
      <c r="C35" s="23"/>
      <c r="D35" s="23"/>
      <c r="E35" s="23"/>
      <c r="F35" s="23"/>
      <c r="G35" s="19"/>
    </row>
    <row r="36" spans="2:7" ht="15" customHeight="1" x14ac:dyDescent="0.3">
      <c r="B36" s="21"/>
      <c r="C36" s="23"/>
      <c r="D36" s="23"/>
      <c r="E36" s="23"/>
      <c r="F36" s="23"/>
      <c r="G36" s="19"/>
    </row>
    <row r="37" spans="2:7" ht="15" customHeight="1" x14ac:dyDescent="0.3">
      <c r="B37" s="21"/>
      <c r="C37" s="23"/>
      <c r="D37" s="23"/>
      <c r="E37" s="23"/>
      <c r="F37" s="23"/>
      <c r="G37" s="19"/>
    </row>
    <row r="38" spans="2:7" ht="15" customHeight="1" x14ac:dyDescent="0.3">
      <c r="B38" s="21"/>
      <c r="C38" s="23"/>
      <c r="D38" s="23"/>
      <c r="E38" s="23"/>
      <c r="F38" s="23"/>
      <c r="G38" s="19"/>
    </row>
    <row r="39" spans="2:7" ht="15" customHeight="1" x14ac:dyDescent="0.3">
      <c r="B39" s="21"/>
      <c r="C39" s="23"/>
      <c r="D39" s="23"/>
      <c r="E39" s="23"/>
      <c r="F39" s="23"/>
      <c r="G39" s="19"/>
    </row>
    <row r="40" spans="2:7" ht="15" customHeight="1" x14ac:dyDescent="0.3">
      <c r="B40" s="21"/>
      <c r="C40" s="23"/>
      <c r="D40" s="23"/>
      <c r="E40" s="23"/>
      <c r="F40" s="23"/>
      <c r="G40" s="19"/>
    </row>
    <row r="41" spans="2:7" ht="15" customHeight="1" x14ac:dyDescent="0.3">
      <c r="B41" s="21"/>
      <c r="C41" s="23"/>
      <c r="D41" s="23"/>
      <c r="E41" s="23"/>
      <c r="F41" s="23"/>
      <c r="G41" s="19"/>
    </row>
    <row r="42" spans="2:7" ht="15" customHeight="1" x14ac:dyDescent="0.3">
      <c r="B42" s="21"/>
      <c r="C42" s="23"/>
      <c r="D42" s="23"/>
      <c r="E42" s="23"/>
      <c r="F42" s="23"/>
      <c r="G42" s="19"/>
    </row>
    <row r="43" spans="2:7" ht="15" customHeight="1" x14ac:dyDescent="0.3">
      <c r="B43" s="21"/>
      <c r="C43" s="23"/>
      <c r="D43" s="23"/>
      <c r="E43" s="23"/>
      <c r="F43" s="23"/>
      <c r="G43" s="19"/>
    </row>
    <row r="44" spans="2:7" ht="15" customHeight="1" x14ac:dyDescent="0.3">
      <c r="B44" s="21"/>
      <c r="C44" s="23"/>
      <c r="D44" s="23"/>
      <c r="E44" s="23"/>
      <c r="F44" s="23"/>
      <c r="G44" s="19"/>
    </row>
    <row r="45" spans="2:7" ht="15" customHeight="1" x14ac:dyDescent="0.3">
      <c r="B45" s="21"/>
      <c r="C45" s="23"/>
      <c r="D45" s="23"/>
      <c r="E45" s="23"/>
      <c r="F45" s="23"/>
      <c r="G45" s="19"/>
    </row>
    <row r="46" spans="2:7" ht="15" customHeight="1" x14ac:dyDescent="0.3">
      <c r="B46" s="21"/>
      <c r="C46" s="23"/>
      <c r="D46" s="23"/>
      <c r="E46" s="23"/>
      <c r="F46" s="23"/>
      <c r="G46" s="19"/>
    </row>
    <row r="47" spans="2:7" ht="15" customHeight="1" x14ac:dyDescent="0.3">
      <c r="B47" s="21"/>
      <c r="C47" s="23"/>
      <c r="D47" s="23"/>
      <c r="E47" s="23"/>
      <c r="F47" s="23"/>
      <c r="G47" s="19"/>
    </row>
    <row r="48" spans="2:7" ht="15" customHeight="1" x14ac:dyDescent="0.3">
      <c r="B48" s="21"/>
      <c r="C48" s="23"/>
      <c r="D48" s="23"/>
      <c r="E48" s="23"/>
      <c r="F48" s="23"/>
      <c r="G48" s="19"/>
    </row>
    <row r="49" spans="2:7" ht="15" customHeight="1" x14ac:dyDescent="0.3">
      <c r="B49" s="21"/>
      <c r="C49" s="23"/>
      <c r="D49" s="23"/>
      <c r="E49" s="23"/>
      <c r="F49" s="23"/>
      <c r="G49" s="19"/>
    </row>
    <row r="50" spans="2:7" ht="15" customHeight="1" x14ac:dyDescent="0.3">
      <c r="B50" s="21"/>
      <c r="C50" s="23"/>
      <c r="D50" s="23"/>
      <c r="E50" s="23"/>
      <c r="F50" s="23"/>
      <c r="G50" s="19"/>
    </row>
    <row r="51" spans="2:7" ht="15" customHeight="1" x14ac:dyDescent="0.3">
      <c r="B51" s="21"/>
      <c r="C51" s="23"/>
      <c r="D51" s="23"/>
      <c r="E51" s="23"/>
      <c r="F51" s="23"/>
      <c r="G51" s="19"/>
    </row>
    <row r="52" spans="2:7" ht="15" customHeight="1" x14ac:dyDescent="0.3">
      <c r="B52" s="10"/>
      <c r="C52" s="19"/>
      <c r="D52" s="19"/>
      <c r="E52" s="19"/>
      <c r="F52" s="19"/>
      <c r="G52" s="19"/>
    </row>
    <row r="53" spans="2:7" ht="15" customHeight="1" x14ac:dyDescent="0.3">
      <c r="B53" s="28"/>
      <c r="C53" s="24"/>
      <c r="D53" s="24"/>
      <c r="E53" s="24"/>
      <c r="F53" s="24"/>
      <c r="G53" s="19"/>
    </row>
    <row r="54" spans="2:7" ht="15" customHeight="1" x14ac:dyDescent="0.3">
      <c r="B54" s="10"/>
      <c r="C54" s="24"/>
      <c r="D54" s="24"/>
      <c r="E54" s="24"/>
      <c r="F54" s="24"/>
      <c r="G54" s="19"/>
    </row>
    <row r="55" spans="2:7" ht="15" customHeight="1" x14ac:dyDescent="0.3">
      <c r="B55" s="10"/>
      <c r="C55" s="24"/>
      <c r="D55" s="24"/>
      <c r="E55" s="24"/>
      <c r="F55" s="24"/>
      <c r="G55" s="19"/>
    </row>
    <row r="56" spans="2:7" ht="15" customHeight="1" x14ac:dyDescent="0.3">
      <c r="B56" s="10"/>
      <c r="C56" s="19"/>
      <c r="D56" s="19"/>
      <c r="E56" s="19"/>
      <c r="F56" s="19"/>
      <c r="G56" s="19"/>
    </row>
    <row r="57" spans="2:7" ht="15" customHeight="1" x14ac:dyDescent="0.3">
      <c r="B57" s="30"/>
      <c r="C57" s="19"/>
      <c r="D57" s="19"/>
      <c r="E57" s="19"/>
      <c r="F57" s="19"/>
      <c r="G57" s="19"/>
    </row>
    <row r="58" spans="2:7" ht="15" customHeight="1" x14ac:dyDescent="0.3">
      <c r="B58" s="10"/>
      <c r="C58" s="19"/>
      <c r="D58" s="19"/>
      <c r="E58" s="19"/>
      <c r="F58" s="19"/>
      <c r="G58" s="19"/>
    </row>
    <row r="59" spans="2:7" ht="15" customHeight="1" x14ac:dyDescent="0.3">
      <c r="B59" s="21"/>
      <c r="C59" s="21"/>
      <c r="D59" s="21"/>
      <c r="E59" s="21"/>
      <c r="F59" s="21"/>
      <c r="G59" s="19"/>
    </row>
    <row r="60" spans="2:7" ht="15" customHeight="1" x14ac:dyDescent="0.3">
      <c r="B60" s="21"/>
      <c r="C60" s="19"/>
      <c r="D60" s="19"/>
      <c r="E60" s="19"/>
      <c r="F60" s="19"/>
      <c r="G60" s="19"/>
    </row>
    <row r="61" spans="2:7" ht="15" customHeight="1" x14ac:dyDescent="0.3">
      <c r="B61" s="21"/>
      <c r="C61" s="26"/>
      <c r="D61" s="26"/>
      <c r="E61" s="26"/>
      <c r="F61" s="26"/>
      <c r="G61" s="19"/>
    </row>
    <row r="62" spans="2:7" ht="15" customHeight="1" x14ac:dyDescent="0.3">
      <c r="B62" s="21"/>
      <c r="C62" s="26"/>
      <c r="D62" s="26"/>
      <c r="E62" s="26"/>
      <c r="F62" s="26"/>
      <c r="G62" s="19"/>
    </row>
    <row r="63" spans="2:7" ht="15" customHeight="1" x14ac:dyDescent="0.3">
      <c r="B63" s="21"/>
      <c r="C63" s="26"/>
      <c r="D63" s="26"/>
      <c r="E63" s="26"/>
      <c r="F63" s="26"/>
      <c r="G63" s="19"/>
    </row>
    <row r="64" spans="2:7" ht="15" customHeight="1" x14ac:dyDescent="0.3">
      <c r="B64" s="21"/>
      <c r="C64" s="26"/>
      <c r="D64" s="26"/>
      <c r="E64" s="26"/>
      <c r="F64" s="26"/>
      <c r="G64" s="19"/>
    </row>
    <row r="65" spans="2:7" ht="15" customHeight="1" x14ac:dyDescent="0.3">
      <c r="B65" s="21"/>
      <c r="C65" s="26"/>
      <c r="D65" s="26"/>
      <c r="E65" s="26"/>
      <c r="F65" s="26"/>
      <c r="G65" s="19"/>
    </row>
    <row r="66" spans="2:7" ht="15" customHeight="1" x14ac:dyDescent="0.3">
      <c r="B66" s="21"/>
      <c r="C66" s="26"/>
      <c r="D66" s="26"/>
      <c r="E66" s="26"/>
      <c r="F66" s="26"/>
      <c r="G66" s="19"/>
    </row>
    <row r="67" spans="2:7" ht="15" customHeight="1" x14ac:dyDescent="0.3">
      <c r="B67" s="21"/>
      <c r="C67" s="26"/>
      <c r="D67" s="26"/>
      <c r="E67" s="26"/>
      <c r="F67" s="26"/>
      <c r="G67" s="19"/>
    </row>
    <row r="68" spans="2:7" ht="15" customHeight="1" x14ac:dyDescent="0.3">
      <c r="B68" s="21"/>
      <c r="C68" s="26"/>
      <c r="D68" s="26"/>
      <c r="E68" s="26"/>
      <c r="F68" s="26"/>
      <c r="G68" s="19"/>
    </row>
    <row r="69" spans="2:7" ht="15" customHeight="1" x14ac:dyDescent="0.3">
      <c r="B69" s="21"/>
      <c r="C69" s="26"/>
      <c r="D69" s="26"/>
      <c r="E69" s="26"/>
      <c r="F69" s="26"/>
      <c r="G69" s="19"/>
    </row>
    <row r="70" spans="2:7" ht="15" customHeight="1" x14ac:dyDescent="0.3">
      <c r="B70" s="21"/>
      <c r="C70" s="26"/>
      <c r="D70" s="26"/>
      <c r="E70" s="26"/>
      <c r="F70" s="26"/>
      <c r="G70" s="19"/>
    </row>
    <row r="71" spans="2:7" ht="15" customHeight="1" x14ac:dyDescent="0.3">
      <c r="B71" s="21"/>
      <c r="C71" s="26"/>
      <c r="D71" s="26"/>
      <c r="E71" s="26"/>
      <c r="F71" s="26"/>
      <c r="G71" s="19"/>
    </row>
    <row r="72" spans="2:7" ht="15" customHeight="1" x14ac:dyDescent="0.3">
      <c r="B72" s="21"/>
      <c r="C72" s="26"/>
      <c r="D72" s="26"/>
      <c r="E72" s="26"/>
      <c r="F72" s="26"/>
      <c r="G72" s="19"/>
    </row>
    <row r="73" spans="2:7" ht="15" customHeight="1" x14ac:dyDescent="0.3">
      <c r="B73" s="21"/>
      <c r="C73" s="26"/>
      <c r="D73" s="26"/>
      <c r="E73" s="26"/>
      <c r="F73" s="26"/>
      <c r="G73" s="19"/>
    </row>
    <row r="74" spans="2:7" ht="15" customHeight="1" x14ac:dyDescent="0.3">
      <c r="B74" s="21"/>
      <c r="C74" s="26"/>
      <c r="D74" s="26"/>
      <c r="E74" s="26"/>
      <c r="F74" s="26"/>
      <c r="G74" s="19"/>
    </row>
    <row r="75" spans="2:7" ht="15" customHeight="1" x14ac:dyDescent="0.3">
      <c r="B75" s="21"/>
      <c r="C75" s="26"/>
      <c r="D75" s="26"/>
      <c r="E75" s="26"/>
      <c r="F75" s="26"/>
      <c r="G75" s="19"/>
    </row>
    <row r="76" spans="2:7" ht="15" customHeight="1" x14ac:dyDescent="0.3">
      <c r="B76" s="21"/>
      <c r="C76" s="26"/>
      <c r="D76" s="26"/>
      <c r="E76" s="26"/>
      <c r="F76" s="26"/>
      <c r="G76" s="19"/>
    </row>
    <row r="77" spans="2:7" ht="15" customHeight="1" x14ac:dyDescent="0.3">
      <c r="B77" s="21"/>
      <c r="C77" s="26"/>
      <c r="D77" s="26"/>
      <c r="E77" s="26"/>
      <c r="F77" s="26"/>
      <c r="G77" s="19"/>
    </row>
    <row r="78" spans="2:7" ht="15" customHeight="1" x14ac:dyDescent="0.3">
      <c r="B78" s="21"/>
      <c r="C78" s="26"/>
      <c r="D78" s="26"/>
      <c r="E78" s="26"/>
      <c r="F78" s="26"/>
      <c r="G78" s="19"/>
    </row>
    <row r="79" spans="2:7" ht="15" customHeight="1" x14ac:dyDescent="0.3">
      <c r="B79" s="21"/>
      <c r="C79" s="26"/>
      <c r="D79" s="26"/>
      <c r="E79" s="26"/>
      <c r="F79" s="26"/>
      <c r="G79" s="19"/>
    </row>
    <row r="80" spans="2:7" ht="15" customHeight="1" x14ac:dyDescent="0.3">
      <c r="B80" s="21"/>
      <c r="C80" s="110"/>
      <c r="D80" s="26"/>
      <c r="E80" s="26"/>
      <c r="F80" s="26"/>
      <c r="G80" s="19"/>
    </row>
    <row r="81" spans="2:7" ht="15" customHeight="1" x14ac:dyDescent="0.3">
      <c r="B81" s="10"/>
      <c r="C81" s="19"/>
      <c r="D81" s="19"/>
      <c r="E81" s="19"/>
      <c r="F81" s="19"/>
      <c r="G81" s="19"/>
    </row>
    <row r="82" spans="2:7" ht="15" customHeight="1" x14ac:dyDescent="0.3">
      <c r="B82" s="28"/>
      <c r="C82" s="27"/>
      <c r="D82" s="27"/>
      <c r="E82" s="27"/>
      <c r="F82" s="27"/>
      <c r="G82" s="19"/>
    </row>
    <row r="83" spans="2:7" ht="15" customHeight="1" x14ac:dyDescent="0.3">
      <c r="B83" s="10"/>
      <c r="C83" s="19"/>
      <c r="D83" s="19"/>
      <c r="E83" s="19"/>
      <c r="F83" s="19"/>
      <c r="G83" s="19"/>
    </row>
    <row r="84" spans="2:7" ht="15" customHeight="1" x14ac:dyDescent="0.3">
      <c r="B84" s="10"/>
      <c r="C84" s="19"/>
      <c r="D84" s="10"/>
      <c r="E84" s="19"/>
      <c r="F84" s="13"/>
      <c r="G84" s="19"/>
    </row>
    <row r="85" spans="2:7" ht="15" customHeight="1" x14ac:dyDescent="0.3">
      <c r="B85" s="10"/>
      <c r="C85" s="19"/>
      <c r="D85" s="19"/>
      <c r="E85" s="19"/>
      <c r="F85" s="27"/>
      <c r="G85" s="19"/>
    </row>
    <row r="86" spans="2:7" ht="15" customHeight="1" x14ac:dyDescent="0.3">
      <c r="B86" s="19"/>
      <c r="C86" s="19"/>
      <c r="D86" s="10"/>
      <c r="E86" s="19"/>
      <c r="F86" s="13"/>
      <c r="G86" s="19"/>
    </row>
  </sheetData>
  <phoneticPr fontId="5" type="noConversion"/>
  <printOptions horizontalCentered="1"/>
  <pageMargins left="0.7" right="0.7" top="0.75" bottom="0.75" header="0.3" footer="0.3"/>
  <pageSetup orientation="landscape" r:id="rId1"/>
  <headerFooter alignWithMargins="0">
    <oddFooter>&amp;L&amp;"Arial,Bold"&amp;F&amp;C&amp;"Arial,Bold"&amp;D &amp;R&amp;"Arial,Bold"Appendix C-3</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1:E15"/>
  <sheetViews>
    <sheetView showGridLines="0" zoomScale="120" zoomScaleNormal="120" workbookViewId="0">
      <selection activeCell="D19" sqref="D19"/>
    </sheetView>
  </sheetViews>
  <sheetFormatPr defaultColWidth="20.7265625" defaultRowHeight="15" customHeight="1" x14ac:dyDescent="0.25"/>
  <cols>
    <col min="1" max="1" width="3.7265625" style="31" customWidth="1"/>
    <col min="2" max="2" width="20.7265625" style="31" customWidth="1"/>
    <col min="3" max="4" width="20.7265625" style="31"/>
    <col min="5" max="5" width="20.7265625" style="31" customWidth="1"/>
    <col min="6" max="6" width="3.7265625" style="31" customWidth="1"/>
    <col min="7" max="16384" width="20.7265625" style="31"/>
  </cols>
  <sheetData>
    <row r="1" spans="2:5" ht="15" customHeight="1" thickBot="1" x14ac:dyDescent="0.3"/>
    <row r="2" spans="2:5" s="111" customFormat="1" ht="20.149999999999999" customHeight="1" thickBot="1" x14ac:dyDescent="0.4">
      <c r="B2" s="528" t="s">
        <v>222</v>
      </c>
      <c r="C2" s="529"/>
      <c r="D2" s="529"/>
      <c r="E2" s="116" t="str">
        <f>ACCUM!A3</f>
        <v>FY'23</v>
      </c>
    </row>
    <row r="3" spans="2:5" ht="15" customHeight="1" thickBot="1" x14ac:dyDescent="0.3"/>
    <row r="4" spans="2:5" ht="15" customHeight="1" thickBot="1" x14ac:dyDescent="0.35">
      <c r="C4" s="101" t="s">
        <v>82</v>
      </c>
      <c r="D4" s="101" t="s">
        <v>78</v>
      </c>
    </row>
    <row r="5" spans="2:5" ht="15" customHeight="1" x14ac:dyDescent="0.25">
      <c r="C5" s="117">
        <v>0</v>
      </c>
      <c r="D5" s="119">
        <f>+ACCUM!G76</f>
        <v>52211</v>
      </c>
    </row>
    <row r="6" spans="2:5" ht="15" customHeight="1" x14ac:dyDescent="0.25">
      <c r="C6" s="117">
        <v>1</v>
      </c>
      <c r="D6" s="119">
        <f>+ACCUM!G77</f>
        <v>54232</v>
      </c>
    </row>
    <row r="7" spans="2:5" ht="15" customHeight="1" x14ac:dyDescent="0.25">
      <c r="C7" s="117">
        <v>2</v>
      </c>
      <c r="D7" s="119">
        <f>+ACCUM!G78</f>
        <v>56239</v>
      </c>
    </row>
    <row r="8" spans="2:5" ht="15" customHeight="1" x14ac:dyDescent="0.25">
      <c r="C8" s="117">
        <v>3</v>
      </c>
      <c r="D8" s="119">
        <f>+ACCUM!G79</f>
        <v>58219</v>
      </c>
    </row>
    <row r="9" spans="2:5" ht="15" customHeight="1" x14ac:dyDescent="0.25">
      <c r="C9" s="117">
        <v>4</v>
      </c>
      <c r="D9" s="119">
        <f>+ACCUM!G80</f>
        <v>60220</v>
      </c>
    </row>
    <row r="10" spans="2:5" ht="15" customHeight="1" x14ac:dyDescent="0.25">
      <c r="C10" s="117">
        <v>5</v>
      </c>
      <c r="D10" s="119">
        <f>+ACCUM!G81</f>
        <v>62200</v>
      </c>
    </row>
    <row r="11" spans="2:5" ht="15" customHeight="1" x14ac:dyDescent="0.25">
      <c r="C11" s="117">
        <v>6</v>
      </c>
      <c r="D11" s="119">
        <f>+ACCUM!G82</f>
        <v>64296</v>
      </c>
    </row>
    <row r="12" spans="2:5" ht="15" customHeight="1" x14ac:dyDescent="0.25">
      <c r="C12" s="117">
        <v>7</v>
      </c>
      <c r="D12" s="119">
        <f>+ACCUM!G83</f>
        <v>66402</v>
      </c>
    </row>
    <row r="13" spans="2:5" ht="15" customHeight="1" x14ac:dyDescent="0.25">
      <c r="C13" s="117">
        <v>8</v>
      </c>
      <c r="D13" s="119">
        <f>+ACCUM!G84</f>
        <v>68542</v>
      </c>
    </row>
    <row r="14" spans="2:5" ht="15" customHeight="1" x14ac:dyDescent="0.25">
      <c r="C14" s="117">
        <v>9</v>
      </c>
      <c r="D14" s="119">
        <f>+ACCUM!G85</f>
        <v>70656</v>
      </c>
    </row>
    <row r="15" spans="2:5" ht="15" customHeight="1" thickBot="1" x14ac:dyDescent="0.3">
      <c r="C15" s="118">
        <v>10</v>
      </c>
      <c r="D15" s="120">
        <f>+ACCUM!G86</f>
        <v>72271</v>
      </c>
    </row>
  </sheetData>
  <mergeCells count="1">
    <mergeCell ref="B2:D2"/>
  </mergeCells>
  <phoneticPr fontId="5" type="noConversion"/>
  <printOptions horizontalCentered="1"/>
  <pageMargins left="0.7" right="0.7" top="0.75" bottom="0.75" header="0.3" footer="0.3"/>
  <pageSetup orientation="landscape" r:id="rId1"/>
  <headerFooter alignWithMargins="0">
    <oddFooter>&amp;L&amp;"Arial,Bold"&amp;F&amp;C&amp;"Arial,Bold"&amp;D &amp;R&amp;"Arial,Bold"Appendix C-4</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E25"/>
  <sheetViews>
    <sheetView zoomScale="120" zoomScaleNormal="120" workbookViewId="0">
      <selection activeCell="B2" sqref="B2:D2"/>
    </sheetView>
  </sheetViews>
  <sheetFormatPr defaultColWidth="15.54296875" defaultRowHeight="12.5" x14ac:dyDescent="0.25"/>
  <cols>
    <col min="1" max="1" width="3.7265625" style="15" customWidth="1"/>
    <col min="2" max="5" width="20.7265625" style="15" customWidth="1"/>
    <col min="6" max="6" width="3.7265625" style="15" customWidth="1"/>
    <col min="7" max="16384" width="15.54296875" style="15"/>
  </cols>
  <sheetData>
    <row r="1" spans="2:5" ht="13" thickBot="1" x14ac:dyDescent="0.3"/>
    <row r="2" spans="2:5" s="6" customFormat="1" ht="20.149999999999999" customHeight="1" thickBot="1" x14ac:dyDescent="0.4">
      <c r="B2" s="526" t="s">
        <v>223</v>
      </c>
      <c r="C2" s="527"/>
      <c r="D2" s="527"/>
      <c r="E2" s="97" t="str">
        <f>ACCUM!A3</f>
        <v>FY'23</v>
      </c>
    </row>
    <row r="3" spans="2:5" ht="13" thickBot="1" x14ac:dyDescent="0.3">
      <c r="B3" s="31"/>
      <c r="C3" s="31"/>
      <c r="D3" s="31"/>
      <c r="E3" s="31"/>
    </row>
    <row r="4" spans="2:5" ht="13.5" thickBot="1" x14ac:dyDescent="0.35">
      <c r="B4" s="31"/>
      <c r="C4" s="101" t="s">
        <v>82</v>
      </c>
      <c r="D4" s="101" t="s">
        <v>78</v>
      </c>
      <c r="E4" s="31"/>
    </row>
    <row r="5" spans="2:5" x14ac:dyDescent="0.25">
      <c r="B5" s="31"/>
      <c r="C5" s="117">
        <v>1</v>
      </c>
      <c r="D5" s="119">
        <f>+ACCUM!H77</f>
        <v>45405</v>
      </c>
      <c r="E5" s="31"/>
    </row>
    <row r="6" spans="2:5" x14ac:dyDescent="0.25">
      <c r="B6" s="31"/>
      <c r="C6" s="117">
        <v>2</v>
      </c>
      <c r="D6" s="119">
        <f>+ACCUM!H78</f>
        <v>47675</v>
      </c>
      <c r="E6" s="31"/>
    </row>
    <row r="7" spans="2:5" x14ac:dyDescent="0.25">
      <c r="B7" s="31"/>
      <c r="C7" s="117">
        <v>3</v>
      </c>
      <c r="D7" s="119">
        <f>+ACCUM!H79</f>
        <v>49946</v>
      </c>
      <c r="E7" s="31"/>
    </row>
    <row r="8" spans="2:5" x14ac:dyDescent="0.25">
      <c r="B8" s="31"/>
      <c r="C8" s="117">
        <v>4</v>
      </c>
      <c r="D8" s="119">
        <f>+ACCUM!H80</f>
        <v>52218</v>
      </c>
      <c r="E8" s="31"/>
    </row>
    <row r="9" spans="2:5" x14ac:dyDescent="0.25">
      <c r="B9" s="31"/>
      <c r="C9" s="117">
        <v>5</v>
      </c>
      <c r="D9" s="119">
        <f>+ACCUM!H81</f>
        <v>54488</v>
      </c>
      <c r="E9" s="31"/>
    </row>
    <row r="10" spans="2:5" x14ac:dyDescent="0.25">
      <c r="B10" s="31"/>
      <c r="C10" s="117">
        <v>6</v>
      </c>
      <c r="D10" s="119">
        <f>+ACCUM!H82</f>
        <v>56757</v>
      </c>
      <c r="E10" s="31"/>
    </row>
    <row r="11" spans="2:5" x14ac:dyDescent="0.25">
      <c r="B11" s="31"/>
      <c r="C11" s="117">
        <v>7</v>
      </c>
      <c r="D11" s="119">
        <f>+ACCUM!H83</f>
        <v>58575</v>
      </c>
      <c r="E11" s="31"/>
    </row>
    <row r="12" spans="2:5" x14ac:dyDescent="0.25">
      <c r="B12" s="31"/>
      <c r="C12" s="117">
        <v>8</v>
      </c>
      <c r="D12" s="119">
        <f>+ACCUM!H84</f>
        <v>59934</v>
      </c>
      <c r="E12" s="31"/>
    </row>
    <row r="13" spans="2:5" x14ac:dyDescent="0.25">
      <c r="B13" s="31"/>
      <c r="C13" s="117">
        <v>9</v>
      </c>
      <c r="D13" s="119">
        <f>+ACCUM!H85</f>
        <v>61296</v>
      </c>
      <c r="E13" s="31"/>
    </row>
    <row r="14" spans="2:5" x14ac:dyDescent="0.25">
      <c r="B14" s="31"/>
      <c r="C14" s="117">
        <v>10</v>
      </c>
      <c r="D14" s="119">
        <f>+ACCUM!H86</f>
        <v>62660</v>
      </c>
      <c r="E14" s="31"/>
    </row>
    <row r="15" spans="2:5" x14ac:dyDescent="0.25">
      <c r="B15" s="31"/>
      <c r="C15" s="117">
        <v>11</v>
      </c>
      <c r="D15" s="119">
        <f>+ACCUM!H87</f>
        <v>64085</v>
      </c>
      <c r="E15" s="31"/>
    </row>
    <row r="16" spans="2:5" x14ac:dyDescent="0.25">
      <c r="B16" s="31"/>
      <c r="C16" s="117">
        <v>12</v>
      </c>
      <c r="D16" s="119">
        <f>+ACCUM!H88</f>
        <v>65383</v>
      </c>
      <c r="E16" s="31"/>
    </row>
    <row r="17" spans="2:5" x14ac:dyDescent="0.25">
      <c r="B17" s="31"/>
      <c r="C17" s="117">
        <v>13</v>
      </c>
      <c r="D17" s="119">
        <f>+ACCUM!H89</f>
        <v>66295</v>
      </c>
      <c r="E17" s="31"/>
    </row>
    <row r="18" spans="2:5" x14ac:dyDescent="0.25">
      <c r="B18" s="31"/>
      <c r="C18" s="117">
        <v>14</v>
      </c>
      <c r="D18" s="119">
        <f>+ACCUM!H90</f>
        <v>67200</v>
      </c>
      <c r="E18" s="31"/>
    </row>
    <row r="19" spans="2:5" x14ac:dyDescent="0.25">
      <c r="B19" s="31"/>
      <c r="C19" s="117">
        <v>15</v>
      </c>
      <c r="D19" s="119">
        <f>+ACCUM!H91</f>
        <v>68107</v>
      </c>
      <c r="E19" s="31"/>
    </row>
    <row r="20" spans="2:5" x14ac:dyDescent="0.25">
      <c r="B20" s="31"/>
      <c r="C20" s="117">
        <v>16</v>
      </c>
      <c r="D20" s="119">
        <f>+ACCUM!H92</f>
        <v>68107</v>
      </c>
      <c r="E20" s="31"/>
    </row>
    <row r="21" spans="2:5" x14ac:dyDescent="0.25">
      <c r="B21" s="31"/>
      <c r="C21" s="117">
        <v>17</v>
      </c>
      <c r="D21" s="119">
        <f>+ACCUM!H93</f>
        <v>68107</v>
      </c>
      <c r="E21" s="31"/>
    </row>
    <row r="22" spans="2:5" x14ac:dyDescent="0.25">
      <c r="B22" s="31"/>
      <c r="C22" s="117">
        <v>18</v>
      </c>
      <c r="D22" s="119">
        <f>+ACCUM!H94</f>
        <v>68107</v>
      </c>
      <c r="E22" s="31"/>
    </row>
    <row r="23" spans="2:5" x14ac:dyDescent="0.25">
      <c r="B23" s="31"/>
      <c r="C23" s="117">
        <v>19</v>
      </c>
      <c r="D23" s="119">
        <f>+ACCUM!H95</f>
        <v>68107</v>
      </c>
      <c r="E23" s="31"/>
    </row>
    <row r="24" spans="2:5" ht="13" thickBot="1" x14ac:dyDescent="0.3">
      <c r="B24" s="31"/>
      <c r="C24" s="118">
        <v>20</v>
      </c>
      <c r="D24" s="120">
        <f>+ACCUM!H96</f>
        <v>69924</v>
      </c>
      <c r="E24" s="31"/>
    </row>
    <row r="25" spans="2:5" x14ac:dyDescent="0.25">
      <c r="B25" s="31"/>
      <c r="C25" s="34"/>
      <c r="D25" s="31"/>
      <c r="E25" s="31"/>
    </row>
  </sheetData>
  <mergeCells count="1">
    <mergeCell ref="B2:D2"/>
  </mergeCells>
  <phoneticPr fontId="5" type="noConversion"/>
  <printOptions horizontalCentered="1"/>
  <pageMargins left="0.7" right="0.7" top="0.75" bottom="0.75" header="0.3" footer="0.3"/>
  <pageSetup orientation="landscape" r:id="rId1"/>
  <headerFooter alignWithMargins="0">
    <oddFooter>&amp;L&amp;"Arial,Bold"&amp;F&amp;C&amp;"Arial,Bold"&amp;D &amp;R&amp;"Arial,Bold"Appendix C-5</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9123E-A02A-458B-B6A8-0FA7B2D7843F}">
  <sheetPr codeName="Sheet33">
    <tabColor rgb="FFFFC000"/>
    <pageSetUpPr fitToPage="1"/>
  </sheetPr>
  <dimension ref="A1:I27"/>
  <sheetViews>
    <sheetView showGridLines="0" topLeftCell="A19" zoomScale="120" zoomScaleNormal="120" workbookViewId="0">
      <selection activeCell="J15" sqref="J15"/>
    </sheetView>
  </sheetViews>
  <sheetFormatPr defaultColWidth="12.7265625" defaultRowHeight="15" customHeight="1" x14ac:dyDescent="0.25"/>
  <cols>
    <col min="1" max="1" width="3.7265625" style="15" customWidth="1"/>
    <col min="2" max="2" width="7.453125" style="15" customWidth="1"/>
    <col min="3" max="3" width="12" style="15" customWidth="1"/>
    <col min="4" max="4" width="13.1796875" style="15" customWidth="1"/>
    <col min="5" max="5" width="14" style="15" customWidth="1"/>
    <col min="6" max="6" width="12.7265625" style="15"/>
    <col min="7" max="7" width="14.54296875" style="15" customWidth="1"/>
    <col min="8" max="16384" width="12.7265625" style="15"/>
  </cols>
  <sheetData>
    <row r="1" spans="2:9" ht="15" customHeight="1" thickBot="1" x14ac:dyDescent="0.35">
      <c r="B1" s="3"/>
      <c r="C1" s="3"/>
      <c r="D1" s="3"/>
      <c r="E1" s="3"/>
      <c r="F1" s="122"/>
    </row>
    <row r="2" spans="2:9" s="6" customFormat="1" ht="20.149999999999999" customHeight="1" thickBot="1" x14ac:dyDescent="0.4">
      <c r="B2" s="315" t="s">
        <v>253</v>
      </c>
      <c r="C2" s="304"/>
      <c r="D2" s="304"/>
      <c r="E2" s="304"/>
      <c r="F2" s="234"/>
      <c r="G2" s="304"/>
      <c r="H2" s="304"/>
      <c r="I2" s="97" t="str">
        <f>ACCUM!A3</f>
        <v>FY'23</v>
      </c>
    </row>
    <row r="3" spans="2:9" ht="15" customHeight="1" thickBot="1" x14ac:dyDescent="0.35">
      <c r="B3" s="3"/>
      <c r="C3" s="3"/>
      <c r="D3" s="3"/>
      <c r="E3" s="3"/>
      <c r="F3" s="122"/>
    </row>
    <row r="4" spans="2:9" ht="15" customHeight="1" thickBot="1" x14ac:dyDescent="0.35">
      <c r="D4" s="101" t="s">
        <v>81</v>
      </c>
      <c r="E4" s="101" t="s">
        <v>69</v>
      </c>
      <c r="F4" s="101" t="s">
        <v>72</v>
      </c>
      <c r="G4" s="101" t="s">
        <v>247</v>
      </c>
      <c r="H4" s="310" t="s">
        <v>248</v>
      </c>
    </row>
    <row r="5" spans="2:9" ht="15" customHeight="1" x14ac:dyDescent="0.25">
      <c r="D5" s="313">
        <v>0</v>
      </c>
      <c r="E5" s="309">
        <v>88740.39</v>
      </c>
      <c r="F5" s="309">
        <v>91499.31</v>
      </c>
      <c r="G5" s="309">
        <v>93706.46</v>
      </c>
      <c r="H5" s="309">
        <v>95913.600000000006</v>
      </c>
    </row>
    <row r="6" spans="2:9" ht="15" customHeight="1" x14ac:dyDescent="0.25">
      <c r="D6" s="314">
        <v>1</v>
      </c>
      <c r="E6" s="308">
        <v>89733.6</v>
      </c>
      <c r="F6" s="308">
        <v>92492.53</v>
      </c>
      <c r="G6" s="308">
        <v>94699.67</v>
      </c>
      <c r="H6" s="308">
        <v>96906.81</v>
      </c>
    </row>
    <row r="7" spans="2:9" ht="15" customHeight="1" x14ac:dyDescent="0.25">
      <c r="D7" s="314">
        <v>2</v>
      </c>
      <c r="E7" s="308">
        <v>90726.81</v>
      </c>
      <c r="F7" s="308">
        <v>93485.74</v>
      </c>
      <c r="G7" s="308">
        <v>95692.89</v>
      </c>
      <c r="H7" s="308">
        <v>97900.03</v>
      </c>
    </row>
    <row r="8" spans="2:9" ht="15" customHeight="1" x14ac:dyDescent="0.25">
      <c r="D8" s="314">
        <v>3</v>
      </c>
      <c r="E8" s="308">
        <v>91720.03</v>
      </c>
      <c r="F8" s="308">
        <v>94478.96</v>
      </c>
      <c r="G8" s="308">
        <v>96686.1</v>
      </c>
      <c r="H8" s="308">
        <v>98893.24</v>
      </c>
    </row>
    <row r="9" spans="2:9" ht="15" customHeight="1" x14ac:dyDescent="0.25">
      <c r="D9" s="314">
        <v>4</v>
      </c>
      <c r="E9" s="308">
        <v>92713.24</v>
      </c>
      <c r="F9" s="308">
        <v>95472.17</v>
      </c>
      <c r="G9" s="308">
        <v>97679.31</v>
      </c>
      <c r="H9" s="308">
        <v>99886.46</v>
      </c>
    </row>
    <row r="10" spans="2:9" ht="15" customHeight="1" x14ac:dyDescent="0.25">
      <c r="D10" s="314">
        <v>5</v>
      </c>
      <c r="E10" s="308">
        <v>93706.46</v>
      </c>
      <c r="F10" s="308">
        <v>96465.39</v>
      </c>
      <c r="G10" s="308">
        <v>98672.53</v>
      </c>
      <c r="H10" s="308">
        <v>100879.67</v>
      </c>
    </row>
    <row r="11" spans="2:9" ht="15" customHeight="1" x14ac:dyDescent="0.25">
      <c r="D11" s="314">
        <v>6</v>
      </c>
      <c r="E11" s="308">
        <v>94699.67</v>
      </c>
      <c r="F11" s="308">
        <v>97458.6</v>
      </c>
      <c r="G11" s="308">
        <v>99665.74</v>
      </c>
      <c r="H11" s="308">
        <v>101872.89</v>
      </c>
    </row>
    <row r="12" spans="2:9" s="31" customFormat="1" ht="15" customHeight="1" x14ac:dyDescent="0.25">
      <c r="D12" s="117">
        <v>7</v>
      </c>
      <c r="E12" s="308">
        <v>95692.89</v>
      </c>
      <c r="F12" s="308">
        <v>98451.81</v>
      </c>
      <c r="G12" s="308">
        <v>100658.96</v>
      </c>
      <c r="H12" s="308">
        <v>102866.1</v>
      </c>
    </row>
    <row r="13" spans="2:9" s="31" customFormat="1" ht="15" customHeight="1" x14ac:dyDescent="0.25">
      <c r="D13" s="117">
        <v>8</v>
      </c>
      <c r="E13" s="308">
        <v>96686.1</v>
      </c>
      <c r="F13" s="308">
        <v>99445.03</v>
      </c>
      <c r="G13" s="308">
        <v>101652.17</v>
      </c>
      <c r="H13" s="308">
        <v>103859.31</v>
      </c>
    </row>
    <row r="14" spans="2:9" s="31" customFormat="1" ht="15" customHeight="1" x14ac:dyDescent="0.25">
      <c r="D14" s="117">
        <v>9</v>
      </c>
      <c r="E14" s="308">
        <v>97679.31</v>
      </c>
      <c r="F14" s="308">
        <v>100438.24</v>
      </c>
      <c r="G14" s="308">
        <v>102645.39</v>
      </c>
      <c r="H14" s="308">
        <v>104852.53</v>
      </c>
    </row>
    <row r="15" spans="2:9" ht="15" customHeight="1" x14ac:dyDescent="0.25">
      <c r="D15" s="117">
        <v>10</v>
      </c>
      <c r="E15" s="308">
        <v>98672.53</v>
      </c>
      <c r="F15" s="308">
        <v>101431.46</v>
      </c>
      <c r="G15" s="308">
        <v>103638.6</v>
      </c>
      <c r="H15" s="308">
        <v>105845.74</v>
      </c>
    </row>
    <row r="16" spans="2:9" ht="16.899999999999999" customHeight="1" x14ac:dyDescent="0.25">
      <c r="D16" s="117">
        <v>11</v>
      </c>
      <c r="E16" s="308">
        <v>99665.74</v>
      </c>
      <c r="F16" s="308">
        <v>102424.67</v>
      </c>
      <c r="G16" s="308">
        <v>104631.81</v>
      </c>
      <c r="H16" s="308">
        <v>106838.96</v>
      </c>
    </row>
    <row r="17" spans="1:8" ht="15" customHeight="1" x14ac:dyDescent="0.25">
      <c r="D17" s="117">
        <v>12</v>
      </c>
      <c r="E17" s="308">
        <v>100658.96</v>
      </c>
      <c r="F17" s="308">
        <v>103417.89</v>
      </c>
      <c r="G17" s="308">
        <v>105625.03</v>
      </c>
      <c r="H17" s="308">
        <v>107832.17</v>
      </c>
    </row>
    <row r="18" spans="1:8" ht="17.5" customHeight="1" x14ac:dyDescent="0.25">
      <c r="A18" s="19"/>
      <c r="D18" s="117">
        <v>13</v>
      </c>
      <c r="E18" s="308">
        <v>101652.17</v>
      </c>
      <c r="F18" s="308">
        <v>104411.01</v>
      </c>
      <c r="G18" s="308">
        <v>106618.24000000001</v>
      </c>
      <c r="H18" s="308">
        <v>108825.39</v>
      </c>
    </row>
    <row r="19" spans="1:8" ht="15" customHeight="1" x14ac:dyDescent="0.25">
      <c r="A19" s="19"/>
      <c r="D19" s="117">
        <v>14</v>
      </c>
      <c r="E19" s="308">
        <v>102645.39</v>
      </c>
      <c r="F19" s="308">
        <v>105554.4</v>
      </c>
      <c r="G19" s="308">
        <v>107611.46</v>
      </c>
      <c r="H19" s="308">
        <v>109818.6</v>
      </c>
    </row>
    <row r="20" spans="1:8" ht="15" customHeight="1" x14ac:dyDescent="0.25">
      <c r="A20" s="19"/>
      <c r="D20" s="117">
        <v>15</v>
      </c>
      <c r="E20" s="308">
        <v>103638.6</v>
      </c>
      <c r="F20" s="308">
        <v>106397.53</v>
      </c>
      <c r="G20" s="308">
        <v>108604.67</v>
      </c>
      <c r="H20" s="308">
        <v>110811.81</v>
      </c>
    </row>
    <row r="21" spans="1:8" ht="15" customHeight="1" x14ac:dyDescent="0.25">
      <c r="A21" s="19"/>
      <c r="D21" s="117">
        <v>16</v>
      </c>
      <c r="E21" s="308">
        <v>104631.81</v>
      </c>
      <c r="F21" s="308">
        <v>107390.74</v>
      </c>
      <c r="G21" s="308">
        <v>109597.89</v>
      </c>
      <c r="H21" s="308">
        <v>111805.03</v>
      </c>
    </row>
    <row r="22" spans="1:8" ht="15" customHeight="1" x14ac:dyDescent="0.25">
      <c r="A22" s="19"/>
      <c r="D22" s="117">
        <v>17</v>
      </c>
      <c r="E22" s="308">
        <v>104631.81</v>
      </c>
      <c r="F22" s="308">
        <v>107390.74</v>
      </c>
      <c r="G22" s="308">
        <v>109597.89</v>
      </c>
      <c r="H22" s="308">
        <v>111805.03</v>
      </c>
    </row>
    <row r="23" spans="1:8" ht="15" customHeight="1" x14ac:dyDescent="0.25">
      <c r="A23" s="19"/>
      <c r="D23" s="312">
        <v>18</v>
      </c>
      <c r="E23" s="308">
        <v>104631.81</v>
      </c>
      <c r="F23" s="308">
        <v>107390.74</v>
      </c>
      <c r="G23" s="308">
        <v>109597.89</v>
      </c>
      <c r="H23" s="308">
        <v>111805.03</v>
      </c>
    </row>
    <row r="24" spans="1:8" ht="12" customHeight="1" x14ac:dyDescent="0.25">
      <c r="A24" s="19"/>
      <c r="D24" s="312">
        <v>19</v>
      </c>
      <c r="E24" s="308">
        <v>105625.03</v>
      </c>
      <c r="F24" s="308">
        <v>108383.96</v>
      </c>
      <c r="G24" s="308">
        <v>110591.1</v>
      </c>
      <c r="H24" s="308">
        <v>112798.24</v>
      </c>
    </row>
    <row r="25" spans="1:8" ht="13.9" customHeight="1" thickBot="1" x14ac:dyDescent="0.3">
      <c r="D25" s="118">
        <v>20</v>
      </c>
      <c r="E25" s="311">
        <v>105625.03</v>
      </c>
      <c r="F25" s="311">
        <v>108383.96</v>
      </c>
      <c r="G25" s="311">
        <v>110591.1</v>
      </c>
      <c r="H25" s="311">
        <v>112798.24</v>
      </c>
    </row>
    <row r="27" spans="1:8" ht="15" customHeight="1" x14ac:dyDescent="0.25">
      <c r="D27" s="40" t="s">
        <v>91</v>
      </c>
      <c r="E27" s="40"/>
      <c r="F27" s="40"/>
      <c r="G27" s="40"/>
      <c r="H27" s="40"/>
    </row>
  </sheetData>
  <printOptions horizontalCentered="1"/>
  <pageMargins left="0.5" right="0.5" top="0.75" bottom="0.5" header="0" footer="0.5"/>
  <pageSetup orientation="landscape" r:id="rId1"/>
  <headerFooter alignWithMargins="0">
    <oddFooter>&amp;L&amp;"Arial,Bold"&amp;F&amp;C&amp;"Arial,Bold"&amp;D &amp;R&amp;"Arial,Bold"Appendix C-6</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D34"/>
  <sheetViews>
    <sheetView zoomScale="120" zoomScaleNormal="120" workbookViewId="0">
      <selection activeCell="B14" sqref="B14"/>
    </sheetView>
  </sheetViews>
  <sheetFormatPr defaultColWidth="12.7265625" defaultRowHeight="15" customHeight="1" x14ac:dyDescent="0.25"/>
  <cols>
    <col min="1" max="1" width="3.7265625" style="131" customWidth="1"/>
    <col min="2" max="2" width="40.7265625" style="131" customWidth="1"/>
    <col min="3" max="4" width="30.7265625" style="131" customWidth="1"/>
    <col min="5" max="5" width="3.7265625" style="131" customWidth="1"/>
    <col min="6" max="16384" width="12.7265625" style="131"/>
  </cols>
  <sheetData>
    <row r="1" spans="2:4" ht="15" customHeight="1" thickBot="1" x14ac:dyDescent="0.35">
      <c r="B1" s="131" t="s">
        <v>0</v>
      </c>
      <c r="C1" s="9"/>
    </row>
    <row r="2" spans="2:4" s="132" customFormat="1" ht="20.149999999999999" customHeight="1" thickBot="1" x14ac:dyDescent="0.4">
      <c r="B2" s="133" t="s">
        <v>109</v>
      </c>
      <c r="C2" s="134"/>
      <c r="D2" s="135" t="str">
        <f>ACCUM!A3</f>
        <v>FY'23</v>
      </c>
    </row>
    <row r="3" spans="2:4" ht="15" customHeight="1" thickBot="1" x14ac:dyDescent="0.35">
      <c r="B3" s="131" t="s">
        <v>0</v>
      </c>
      <c r="C3" s="9"/>
    </row>
    <row r="4" spans="2:4" s="18" customFormat="1" ht="15" customHeight="1" thickBot="1" x14ac:dyDescent="0.35">
      <c r="B4" s="101" t="s">
        <v>76</v>
      </c>
      <c r="C4" s="101" t="s">
        <v>68</v>
      </c>
      <c r="D4" s="139" t="s">
        <v>65</v>
      </c>
    </row>
    <row r="5" spans="2:4" ht="15" customHeight="1" x14ac:dyDescent="0.25">
      <c r="B5" s="136" t="s">
        <v>122</v>
      </c>
      <c r="C5" s="140">
        <f>+ACCUM!D6</f>
        <v>95979.520000000004</v>
      </c>
      <c r="D5" s="124">
        <f>+ACCUM!F6</f>
        <v>130255.84000000001</v>
      </c>
    </row>
    <row r="6" spans="2:4" ht="15" customHeight="1" x14ac:dyDescent="0.25">
      <c r="B6" s="137" t="s">
        <v>47</v>
      </c>
      <c r="C6" s="119">
        <f>+ACCUM!D7</f>
        <v>82267.12000000001</v>
      </c>
      <c r="D6" s="125">
        <f>+ACCUM!F7</f>
        <v>116546.56</v>
      </c>
    </row>
    <row r="7" spans="2:4" ht="15" customHeight="1" thickBot="1" x14ac:dyDescent="0.3">
      <c r="B7" s="138" t="s">
        <v>121</v>
      </c>
      <c r="C7" s="120">
        <f>+ACCUM!D8</f>
        <v>54844.4</v>
      </c>
      <c r="D7" s="127">
        <f>+ACCUM!F8</f>
        <v>95979.520000000004</v>
      </c>
    </row>
    <row r="8" spans="2:4" ht="15" customHeight="1" x14ac:dyDescent="0.25">
      <c r="B8" s="117" t="s">
        <v>19</v>
      </c>
      <c r="C8" s="117"/>
      <c r="D8" s="204"/>
    </row>
    <row r="9" spans="2:4" ht="15" customHeight="1" x14ac:dyDescent="0.25">
      <c r="B9" s="119" t="s">
        <v>51</v>
      </c>
      <c r="C9" s="119">
        <f>+ACCUM!C9</f>
        <v>500</v>
      </c>
      <c r="D9" s="125">
        <f>+ACCUM!F9</f>
        <v>500</v>
      </c>
    </row>
    <row r="10" spans="2:4" ht="15" customHeight="1" thickBot="1" x14ac:dyDescent="0.3">
      <c r="B10" s="118" t="s">
        <v>81</v>
      </c>
      <c r="C10" s="118"/>
      <c r="D10" s="206"/>
    </row>
    <row r="12" spans="2:4" ht="25.5" customHeight="1" x14ac:dyDescent="0.25">
      <c r="B12" s="551" t="s">
        <v>104</v>
      </c>
      <c r="C12" s="551"/>
      <c r="D12" s="551"/>
    </row>
    <row r="13" spans="2:4" ht="15" customHeight="1" x14ac:dyDescent="0.3">
      <c r="C13" s="9"/>
    </row>
    <row r="15" spans="2:4" ht="15" customHeight="1" x14ac:dyDescent="0.3">
      <c r="D15" s="9"/>
    </row>
    <row r="16" spans="2:4" ht="15" customHeight="1" x14ac:dyDescent="0.3">
      <c r="D16" s="9"/>
    </row>
    <row r="20" spans="2:4" ht="15" customHeight="1" x14ac:dyDescent="0.3">
      <c r="B20" s="9"/>
    </row>
    <row r="22" spans="2:4" ht="15" customHeight="1" x14ac:dyDescent="0.3">
      <c r="B22" s="9"/>
    </row>
    <row r="28" spans="2:4" ht="15" customHeight="1" x14ac:dyDescent="0.3">
      <c r="B28" s="9"/>
      <c r="C28" s="9"/>
      <c r="D28" s="129"/>
    </row>
    <row r="29" spans="2:4" ht="15" customHeight="1" x14ac:dyDescent="0.3">
      <c r="C29" s="9"/>
      <c r="D29" s="129"/>
    </row>
    <row r="30" spans="2:4" ht="15" customHeight="1" x14ac:dyDescent="0.3">
      <c r="C30" s="9"/>
      <c r="D30" s="129"/>
    </row>
    <row r="31" spans="2:4" ht="15" customHeight="1" x14ac:dyDescent="0.3">
      <c r="C31" s="9"/>
      <c r="D31" s="129"/>
    </row>
    <row r="32" spans="2:4" ht="15" customHeight="1" x14ac:dyDescent="0.3">
      <c r="C32" s="9"/>
      <c r="D32" s="129"/>
    </row>
    <row r="33" spans="3:4" ht="15" customHeight="1" x14ac:dyDescent="0.3">
      <c r="C33" s="9"/>
    </row>
    <row r="34" spans="3:4" ht="15" customHeight="1" x14ac:dyDescent="0.3">
      <c r="C34" s="9"/>
      <c r="D34" s="129"/>
    </row>
  </sheetData>
  <mergeCells count="1">
    <mergeCell ref="B12:D12"/>
  </mergeCells>
  <phoneticPr fontId="5" type="noConversion"/>
  <printOptions horizontalCentered="1"/>
  <pageMargins left="0.7" right="0.7" top="0.75" bottom="0.75" header="0.3" footer="0.3"/>
  <pageSetup orientation="landscape" r:id="rId1"/>
  <headerFooter alignWithMargins="0">
    <oddFooter>&amp;L&amp;"Arial,Bold"&amp;F&amp;C&amp;"Arial,Bold"&amp;D &amp;R&amp;"Arial,Bold"Appendix C-11</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F40"/>
  <sheetViews>
    <sheetView showGridLines="0" zoomScale="120" zoomScaleNormal="120" workbookViewId="0">
      <selection activeCell="B7" sqref="B7"/>
    </sheetView>
  </sheetViews>
  <sheetFormatPr defaultColWidth="20.7265625" defaultRowHeight="15" customHeight="1" x14ac:dyDescent="0.25"/>
  <cols>
    <col min="1" max="1" width="3.7265625" style="31" customWidth="1"/>
    <col min="2" max="4" width="20.7265625" style="18"/>
    <col min="5" max="5" width="20.7265625" style="15" customWidth="1"/>
    <col min="6" max="6" width="3.7265625" style="15" customWidth="1"/>
    <col min="7" max="16384" width="20.7265625" style="15"/>
  </cols>
  <sheetData>
    <row r="1" spans="1:5" ht="15" customHeight="1" thickBot="1" x14ac:dyDescent="0.3"/>
    <row r="2" spans="1:5" s="6" customFormat="1" ht="20.149999999999999" customHeight="1" thickBot="1" x14ac:dyDescent="0.4">
      <c r="A2" s="111"/>
      <c r="B2" s="168" t="s">
        <v>230</v>
      </c>
      <c r="C2" s="169"/>
      <c r="D2" s="169"/>
      <c r="E2" s="116" t="str">
        <f>ACCUM!A3</f>
        <v>FY'23</v>
      </c>
    </row>
    <row r="3" spans="1:5" ht="15" customHeight="1" thickBot="1" x14ac:dyDescent="0.3"/>
    <row r="4" spans="1:5" ht="15" customHeight="1" thickBot="1" x14ac:dyDescent="0.35">
      <c r="B4" s="15"/>
      <c r="C4" s="101" t="s">
        <v>82</v>
      </c>
      <c r="D4" s="101" t="s">
        <v>78</v>
      </c>
    </row>
    <row r="5" spans="1:5" ht="15" customHeight="1" x14ac:dyDescent="0.25">
      <c r="B5" s="15"/>
      <c r="C5" s="170">
        <v>1</v>
      </c>
      <c r="D5" s="172">
        <f>+ACCUM!B99</f>
        <v>23928</v>
      </c>
    </row>
    <row r="6" spans="1:5" ht="15" customHeight="1" x14ac:dyDescent="0.25">
      <c r="B6" s="15"/>
      <c r="C6" s="170">
        <v>2</v>
      </c>
      <c r="D6" s="172">
        <f>+ACCUM!B100</f>
        <v>24700</v>
      </c>
    </row>
    <row r="7" spans="1:5" ht="15" customHeight="1" x14ac:dyDescent="0.25">
      <c r="B7" s="15"/>
      <c r="C7" s="170">
        <v>3</v>
      </c>
      <c r="D7" s="172">
        <f>+ACCUM!B101</f>
        <v>25397</v>
      </c>
    </row>
    <row r="8" spans="1:5" ht="15" customHeight="1" x14ac:dyDescent="0.25">
      <c r="B8" s="15"/>
      <c r="C8" s="170">
        <v>4</v>
      </c>
      <c r="D8" s="172">
        <f>+ACCUM!B102</f>
        <v>26118</v>
      </c>
    </row>
    <row r="9" spans="1:5" ht="15" customHeight="1" x14ac:dyDescent="0.25">
      <c r="B9" s="15"/>
      <c r="C9" s="170">
        <v>5</v>
      </c>
      <c r="D9" s="172">
        <f>+ACCUM!B103</f>
        <v>26856</v>
      </c>
    </row>
    <row r="10" spans="1:5" ht="15" customHeight="1" x14ac:dyDescent="0.25">
      <c r="B10" s="15"/>
      <c r="C10" s="170">
        <v>6</v>
      </c>
      <c r="D10" s="172">
        <f>+ACCUM!B104</f>
        <v>27615</v>
      </c>
    </row>
    <row r="11" spans="1:5" ht="15" customHeight="1" x14ac:dyDescent="0.25">
      <c r="B11" s="15"/>
      <c r="C11" s="170">
        <v>7</v>
      </c>
      <c r="D11" s="172">
        <f>+ACCUM!B105</f>
        <v>28397</v>
      </c>
    </row>
    <row r="12" spans="1:5" ht="15" customHeight="1" x14ac:dyDescent="0.25">
      <c r="B12" s="15"/>
      <c r="C12" s="170">
        <v>8</v>
      </c>
      <c r="D12" s="172">
        <f>+ACCUM!B106</f>
        <v>29198</v>
      </c>
    </row>
    <row r="13" spans="1:5" ht="15" customHeight="1" x14ac:dyDescent="0.25">
      <c r="B13" s="15"/>
      <c r="C13" s="170">
        <v>9</v>
      </c>
      <c r="D13" s="172">
        <f>+ACCUM!B107</f>
        <v>30024</v>
      </c>
    </row>
    <row r="14" spans="1:5" ht="15" customHeight="1" x14ac:dyDescent="0.25">
      <c r="B14" s="15"/>
      <c r="C14" s="170">
        <v>10</v>
      </c>
      <c r="D14" s="172">
        <f>+ACCUM!B108</f>
        <v>30874</v>
      </c>
    </row>
    <row r="15" spans="1:5" ht="15" customHeight="1" x14ac:dyDescent="0.25">
      <c r="B15" s="15"/>
      <c r="C15" s="170">
        <v>11</v>
      </c>
      <c r="D15" s="172">
        <f>+ACCUM!B109</f>
        <v>32022</v>
      </c>
    </row>
    <row r="16" spans="1:5" ht="15" customHeight="1" x14ac:dyDescent="0.25">
      <c r="B16" s="15"/>
      <c r="C16" s="170">
        <v>12</v>
      </c>
      <c r="D16" s="172">
        <f>+ACCUM!B110</f>
        <v>33214</v>
      </c>
    </row>
    <row r="17" spans="1:6" ht="15" customHeight="1" x14ac:dyDescent="0.25">
      <c r="B17" s="15"/>
      <c r="C17" s="170">
        <v>13</v>
      </c>
      <c r="D17" s="172">
        <f>+ACCUM!B111</f>
        <v>34445</v>
      </c>
    </row>
    <row r="18" spans="1:6" ht="15" customHeight="1" x14ac:dyDescent="0.25">
      <c r="B18" s="15"/>
      <c r="C18" s="170">
        <v>14</v>
      </c>
      <c r="D18" s="172">
        <f>+ACCUM!B112</f>
        <v>35723</v>
      </c>
      <c r="F18" s="31"/>
    </row>
    <row r="19" spans="1:6" ht="15" customHeight="1" thickBot="1" x14ac:dyDescent="0.3">
      <c r="B19" s="15"/>
      <c r="C19" s="171">
        <v>15</v>
      </c>
      <c r="D19" s="173">
        <f>+ACCUM!B113</f>
        <v>37050</v>
      </c>
      <c r="F19" s="31"/>
    </row>
    <row r="20" spans="1:6" ht="15" customHeight="1" x14ac:dyDescent="0.25">
      <c r="E20" s="31"/>
      <c r="F20" s="31"/>
    </row>
    <row r="21" spans="1:6" ht="15" customHeight="1" x14ac:dyDescent="0.25">
      <c r="B21" s="34"/>
      <c r="C21" s="34"/>
      <c r="D21" s="34"/>
      <c r="E21" s="31"/>
    </row>
    <row r="22" spans="1:6" ht="15" customHeight="1" x14ac:dyDescent="0.25">
      <c r="B22" s="34"/>
      <c r="C22" s="34"/>
      <c r="D22" s="34"/>
      <c r="E22" s="31"/>
    </row>
    <row r="23" spans="1:6" s="55" customFormat="1" ht="15" customHeight="1" x14ac:dyDescent="0.3">
      <c r="A23" s="10"/>
      <c r="B23" s="21"/>
      <c r="C23" s="21"/>
      <c r="D23" s="21"/>
      <c r="E23" s="10"/>
    </row>
    <row r="24" spans="1:6" ht="15" customHeight="1" x14ac:dyDescent="0.25">
      <c r="B24" s="34"/>
      <c r="C24" s="34"/>
      <c r="D24" s="34"/>
      <c r="E24" s="31"/>
    </row>
    <row r="25" spans="1:6" ht="15" customHeight="1" x14ac:dyDescent="0.25">
      <c r="B25" s="34"/>
      <c r="C25" s="34"/>
      <c r="D25" s="34"/>
      <c r="E25" s="31"/>
    </row>
    <row r="26" spans="1:6" ht="15" customHeight="1" x14ac:dyDescent="0.25">
      <c r="B26" s="34"/>
      <c r="C26" s="34"/>
      <c r="D26" s="34"/>
      <c r="E26" s="31"/>
    </row>
    <row r="27" spans="1:6" ht="15" customHeight="1" x14ac:dyDescent="0.25">
      <c r="B27" s="34"/>
      <c r="C27" s="34"/>
      <c r="D27" s="34"/>
      <c r="E27" s="31"/>
    </row>
    <row r="28" spans="1:6" ht="15" customHeight="1" x14ac:dyDescent="0.25">
      <c r="B28" s="34"/>
      <c r="C28" s="34"/>
      <c r="D28" s="34"/>
      <c r="E28" s="31"/>
    </row>
    <row r="29" spans="1:6" ht="15" customHeight="1" x14ac:dyDescent="0.25">
      <c r="B29" s="34"/>
      <c r="C29" s="34"/>
      <c r="D29" s="34"/>
      <c r="E29" s="31"/>
    </row>
    <row r="30" spans="1:6" ht="15" customHeight="1" x14ac:dyDescent="0.25">
      <c r="B30" s="34"/>
      <c r="C30" s="34"/>
      <c r="D30" s="34"/>
      <c r="E30" s="31"/>
    </row>
    <row r="31" spans="1:6" ht="15" customHeight="1" x14ac:dyDescent="0.25">
      <c r="B31" s="34"/>
      <c r="C31" s="34"/>
      <c r="D31" s="34"/>
      <c r="E31" s="31"/>
    </row>
    <row r="32" spans="1:6" ht="15" customHeight="1" x14ac:dyDescent="0.25">
      <c r="B32" s="34"/>
      <c r="C32" s="34"/>
      <c r="D32" s="34"/>
      <c r="E32" s="31"/>
    </row>
    <row r="33" spans="2:5" ht="15" customHeight="1" x14ac:dyDescent="0.25">
      <c r="B33" s="34"/>
      <c r="C33" s="34"/>
      <c r="D33" s="34"/>
      <c r="E33" s="31"/>
    </row>
    <row r="34" spans="2:5" ht="15" customHeight="1" x14ac:dyDescent="0.25">
      <c r="B34" s="34"/>
      <c r="C34" s="34"/>
      <c r="D34" s="34"/>
      <c r="E34" s="31"/>
    </row>
    <row r="35" spans="2:5" ht="15" customHeight="1" x14ac:dyDescent="0.25">
      <c r="B35" s="34"/>
      <c r="C35" s="34"/>
      <c r="D35" s="34"/>
      <c r="E35" s="31"/>
    </row>
    <row r="36" spans="2:5" ht="15" customHeight="1" x14ac:dyDescent="0.25">
      <c r="B36" s="34"/>
      <c r="C36" s="34"/>
      <c r="D36" s="34"/>
      <c r="E36" s="31"/>
    </row>
    <row r="37" spans="2:5" ht="15" customHeight="1" x14ac:dyDescent="0.25">
      <c r="B37" s="34"/>
      <c r="C37" s="34"/>
      <c r="D37" s="34"/>
      <c r="E37" s="31"/>
    </row>
    <row r="38" spans="2:5" ht="15" customHeight="1" x14ac:dyDescent="0.25">
      <c r="B38" s="34"/>
      <c r="C38" s="34"/>
      <c r="D38" s="34"/>
      <c r="E38" s="31"/>
    </row>
    <row r="39" spans="2:5" ht="15" customHeight="1" x14ac:dyDescent="0.25">
      <c r="B39" s="34"/>
      <c r="C39" s="34"/>
      <c r="D39" s="34"/>
      <c r="E39" s="31"/>
    </row>
    <row r="40" spans="2:5" ht="15" customHeight="1" x14ac:dyDescent="0.25">
      <c r="B40" s="34"/>
      <c r="C40" s="34"/>
      <c r="D40" s="34"/>
      <c r="E40" s="31"/>
    </row>
  </sheetData>
  <phoneticPr fontId="5" type="noConversion"/>
  <printOptions horizontalCentered="1"/>
  <pageMargins left="0.7" right="0.7" top="0.75" bottom="0.75" header="0.3" footer="0.3"/>
  <pageSetup orientation="landscape" r:id="rId1"/>
  <headerFooter alignWithMargins="0">
    <oddFooter>&amp;L&amp;"Arial,Bold"&amp;F&amp;C&amp;"Arial,Bold"&amp;D &amp;R&amp;"Arial,Bold"Appendix C-14</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pageSetUpPr fitToPage="1"/>
  </sheetPr>
  <dimension ref="A1:G16"/>
  <sheetViews>
    <sheetView showGridLines="0" zoomScale="120" zoomScaleNormal="120" workbookViewId="0">
      <selection activeCell="B10" sqref="B10"/>
    </sheetView>
  </sheetViews>
  <sheetFormatPr defaultColWidth="20.7265625" defaultRowHeight="15" customHeight="1" x14ac:dyDescent="0.25"/>
  <cols>
    <col min="1" max="1" width="3.7265625" customWidth="1"/>
    <col min="2" max="2" width="25.7265625" customWidth="1"/>
    <col min="4" max="4" width="25.7265625" customWidth="1"/>
    <col min="5" max="5" width="5.7265625" customWidth="1"/>
    <col min="6" max="6" width="10.7265625" customWidth="1"/>
    <col min="7" max="7" width="3.7265625" customWidth="1"/>
  </cols>
  <sheetData>
    <row r="1" spans="1:7" ht="15" customHeight="1" thickBot="1" x14ac:dyDescent="0.3"/>
    <row r="2" spans="1:7" s="132" customFormat="1" ht="20.149999999999999" customHeight="1" thickBot="1" x14ac:dyDescent="0.4">
      <c r="B2" s="268" t="s">
        <v>231</v>
      </c>
      <c r="C2" s="272"/>
      <c r="D2" s="272"/>
      <c r="E2" s="115"/>
      <c r="F2" s="270" t="str">
        <f>ACCUM!A3</f>
        <v>FY'23</v>
      </c>
    </row>
    <row r="3" spans="1:7" ht="15" customHeight="1" thickBot="1" x14ac:dyDescent="0.3">
      <c r="A3" s="8"/>
      <c r="B3" s="8"/>
      <c r="C3" s="8"/>
      <c r="D3" s="8"/>
      <c r="E3" s="8"/>
      <c r="F3" s="8"/>
      <c r="G3" s="8"/>
    </row>
    <row r="4" spans="1:7" ht="15" customHeight="1" thickBot="1" x14ac:dyDescent="0.35">
      <c r="A4" s="8"/>
      <c r="B4" s="8"/>
      <c r="C4" s="101" t="s">
        <v>82</v>
      </c>
      <c r="D4" s="101" t="s">
        <v>78</v>
      </c>
      <c r="E4" s="273"/>
      <c r="F4" s="8"/>
      <c r="G4" s="8"/>
    </row>
    <row r="5" spans="1:7" ht="15" customHeight="1" x14ac:dyDescent="0.25">
      <c r="A5" s="8"/>
      <c r="B5" s="8"/>
      <c r="C5" s="117">
        <v>0</v>
      </c>
      <c r="D5" s="119">
        <f>+ACCUM!I76</f>
        <v>33921</v>
      </c>
      <c r="E5" s="271"/>
      <c r="F5" s="8"/>
      <c r="G5" s="8"/>
    </row>
    <row r="6" spans="1:7" ht="15" customHeight="1" x14ac:dyDescent="0.25">
      <c r="A6" s="8"/>
      <c r="B6" s="8"/>
      <c r="C6" s="117">
        <v>1</v>
      </c>
      <c r="D6" s="119">
        <f>+ACCUM!I77</f>
        <v>35236</v>
      </c>
      <c r="E6" s="271"/>
      <c r="F6" s="8"/>
      <c r="G6" s="8"/>
    </row>
    <row r="7" spans="1:7" ht="15" customHeight="1" x14ac:dyDescent="0.25">
      <c r="A7" s="8"/>
      <c r="B7" s="8"/>
      <c r="C7" s="117">
        <v>2</v>
      </c>
      <c r="D7" s="119">
        <f>+ACCUM!I78</f>
        <v>36541</v>
      </c>
      <c r="E7" s="271"/>
      <c r="F7" s="8"/>
      <c r="G7" s="8"/>
    </row>
    <row r="8" spans="1:7" ht="15" customHeight="1" x14ac:dyDescent="0.25">
      <c r="A8" s="8"/>
      <c r="B8" s="8"/>
      <c r="C8" s="117">
        <v>3</v>
      </c>
      <c r="D8" s="119">
        <f>+ACCUM!I79</f>
        <v>37828</v>
      </c>
      <c r="E8" s="271"/>
      <c r="F8" s="8"/>
      <c r="G8" s="8"/>
    </row>
    <row r="9" spans="1:7" ht="15" customHeight="1" x14ac:dyDescent="0.25">
      <c r="A9" s="8"/>
      <c r="B9" s="8"/>
      <c r="C9" s="117">
        <v>4</v>
      </c>
      <c r="D9" s="119">
        <f>+ACCUM!I80</f>
        <v>39125</v>
      </c>
      <c r="E9" s="271"/>
      <c r="F9" s="8"/>
      <c r="G9" s="8"/>
    </row>
    <row r="10" spans="1:7" ht="15" customHeight="1" x14ac:dyDescent="0.25">
      <c r="A10" s="8"/>
      <c r="B10" s="8"/>
      <c r="C10" s="117">
        <v>5</v>
      </c>
      <c r="D10" s="119">
        <f>+ACCUM!I81</f>
        <v>40412</v>
      </c>
      <c r="E10" s="271"/>
      <c r="F10" s="8"/>
      <c r="G10" s="8"/>
    </row>
    <row r="11" spans="1:7" ht="15" customHeight="1" x14ac:dyDescent="0.25">
      <c r="A11" s="8"/>
      <c r="B11" s="8"/>
      <c r="C11" s="117">
        <v>6</v>
      </c>
      <c r="D11" s="119">
        <f>+ACCUM!I82</f>
        <v>41778</v>
      </c>
      <c r="E11" s="271"/>
      <c r="F11" s="8"/>
      <c r="G11" s="8"/>
    </row>
    <row r="12" spans="1:7" ht="15" customHeight="1" x14ac:dyDescent="0.25">
      <c r="A12" s="8"/>
      <c r="B12" s="8"/>
      <c r="C12" s="117">
        <v>7</v>
      </c>
      <c r="D12" s="119">
        <f>+ACCUM!I83</f>
        <v>43177</v>
      </c>
      <c r="E12" s="271"/>
      <c r="F12" s="8"/>
      <c r="G12" s="8"/>
    </row>
    <row r="13" spans="1:7" ht="15" customHeight="1" x14ac:dyDescent="0.25">
      <c r="A13" s="8"/>
      <c r="B13" s="8"/>
      <c r="C13" s="117">
        <v>8</v>
      </c>
      <c r="D13" s="119">
        <f>+ACCUM!I84</f>
        <v>44537</v>
      </c>
      <c r="E13" s="271"/>
      <c r="F13" s="8"/>
      <c r="G13" s="8"/>
    </row>
    <row r="14" spans="1:7" ht="15" customHeight="1" x14ac:dyDescent="0.25">
      <c r="A14" s="8"/>
      <c r="B14" s="8"/>
      <c r="C14" s="117">
        <v>9</v>
      </c>
      <c r="D14" s="119">
        <f>+ACCUM!I85</f>
        <v>45908</v>
      </c>
      <c r="E14" s="271"/>
      <c r="F14" s="8"/>
      <c r="G14" s="8"/>
    </row>
    <row r="15" spans="1:7" ht="15" customHeight="1" thickBot="1" x14ac:dyDescent="0.3">
      <c r="A15" s="8"/>
      <c r="B15" s="8"/>
      <c r="C15" s="118">
        <v>10</v>
      </c>
      <c r="D15" s="120">
        <f>+ACCUM!I86</f>
        <v>46957</v>
      </c>
      <c r="E15" s="271"/>
      <c r="F15" s="8"/>
      <c r="G15" s="8"/>
    </row>
    <row r="16" spans="1:7" ht="15" customHeight="1" x14ac:dyDescent="0.25">
      <c r="A16" s="8"/>
      <c r="B16" s="8"/>
      <c r="C16" s="8"/>
      <c r="D16" s="8"/>
      <c r="E16" s="8"/>
      <c r="F16" s="8"/>
      <c r="G16" s="8"/>
    </row>
  </sheetData>
  <phoneticPr fontId="5" type="noConversion"/>
  <printOptions horizontalCentered="1"/>
  <pageMargins left="0.7" right="0.7" top="0.75" bottom="0.75" header="0.3" footer="0.3"/>
  <pageSetup orientation="landscape" r:id="rId1"/>
  <headerFooter alignWithMargins="0">
    <oddFooter>&amp;L&amp;"Arial,Bold"&amp;F&amp;C&amp;"Arial,Bold"&amp;D &amp;R&amp;"Arial,Bold"Appendix C-15</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pageSetUpPr fitToPage="1"/>
  </sheetPr>
  <dimension ref="B1:M87"/>
  <sheetViews>
    <sheetView showGridLines="0" showZeros="0" zoomScale="120" zoomScaleNormal="120" workbookViewId="0">
      <selection activeCell="B4" sqref="B4"/>
    </sheetView>
  </sheetViews>
  <sheetFormatPr defaultColWidth="12.7265625" defaultRowHeight="15" customHeight="1" x14ac:dyDescent="0.3"/>
  <cols>
    <col min="1" max="1" width="3.7265625" style="15" customWidth="1"/>
    <col min="2" max="2" width="12.7265625" style="21"/>
    <col min="3" max="3" width="12.7265625" style="20"/>
    <col min="4" max="11" width="12.7265625" style="19"/>
    <col min="12" max="12" width="3.7265625" style="19" customWidth="1"/>
    <col min="13" max="13" width="12.7265625" style="19"/>
    <col min="14" max="16384" width="12.7265625" style="15"/>
  </cols>
  <sheetData>
    <row r="1" spans="2:13" ht="15" customHeight="1" thickBot="1" x14ac:dyDescent="0.35">
      <c r="B1" s="3"/>
      <c r="C1" s="15"/>
      <c r="D1" s="15"/>
      <c r="E1" s="15"/>
      <c r="F1" s="15"/>
      <c r="G1" s="15"/>
      <c r="H1" s="15"/>
      <c r="I1" s="15"/>
      <c r="J1" s="15"/>
      <c r="K1" s="15"/>
      <c r="L1" s="15"/>
      <c r="M1" s="15"/>
    </row>
    <row r="2" spans="2:13" s="6" customFormat="1" ht="20.149999999999999" customHeight="1" thickBot="1" x14ac:dyDescent="0.4">
      <c r="B2" s="526" t="s">
        <v>232</v>
      </c>
      <c r="C2" s="527"/>
      <c r="D2" s="527"/>
      <c r="E2" s="527"/>
      <c r="F2" s="527"/>
      <c r="G2" s="527"/>
      <c r="H2" s="527"/>
      <c r="I2" s="527"/>
      <c r="J2" s="527"/>
      <c r="K2" s="97" t="str">
        <f>+ACCUM!A3</f>
        <v>FY'23</v>
      </c>
    </row>
    <row r="3" spans="2:13" ht="15" customHeight="1" thickBot="1" x14ac:dyDescent="0.35">
      <c r="B3" s="3"/>
      <c r="C3" s="15"/>
      <c r="D3" s="15"/>
      <c r="E3" s="15"/>
      <c r="F3" s="15"/>
      <c r="G3" s="15"/>
      <c r="H3" s="15"/>
      <c r="I3" s="15"/>
      <c r="J3" s="15"/>
      <c r="K3" s="15"/>
      <c r="L3" s="15"/>
      <c r="M3" s="15"/>
    </row>
    <row r="4" spans="2:13" ht="15" customHeight="1" thickBot="1" x14ac:dyDescent="0.35">
      <c r="B4" s="101" t="s">
        <v>82</v>
      </c>
      <c r="C4" s="123" t="s">
        <v>36</v>
      </c>
      <c r="D4" s="101" t="s">
        <v>37</v>
      </c>
      <c r="E4" s="123" t="s">
        <v>38</v>
      </c>
      <c r="F4" s="101" t="s">
        <v>69</v>
      </c>
      <c r="G4" s="123" t="s">
        <v>70</v>
      </c>
      <c r="H4" s="101" t="s">
        <v>71</v>
      </c>
      <c r="I4" s="123" t="s">
        <v>72</v>
      </c>
      <c r="J4" s="101" t="s">
        <v>50</v>
      </c>
      <c r="K4" s="202" t="s">
        <v>48</v>
      </c>
      <c r="L4" s="15"/>
      <c r="M4" s="15"/>
    </row>
    <row r="5" spans="2:13" ht="15" customHeight="1" x14ac:dyDescent="0.25">
      <c r="B5" s="99">
        <v>1</v>
      </c>
      <c r="C5" s="106">
        <f>+ACCUM!B116</f>
        <v>44403</v>
      </c>
      <c r="D5" s="104">
        <f>+ACCUM!C116</f>
        <v>44403</v>
      </c>
      <c r="E5" s="106">
        <f>+ACCUM!D116</f>
        <v>44403</v>
      </c>
      <c r="F5" s="104">
        <f>+ACCUM!E116</f>
        <v>48843</v>
      </c>
      <c r="G5" s="106">
        <f>+ACCUM!F116</f>
        <v>48843</v>
      </c>
      <c r="H5" s="104">
        <f>+ACCUM!G116</f>
        <v>48843</v>
      </c>
      <c r="I5" s="106">
        <f>+ACCUM!H116</f>
        <v>48843</v>
      </c>
      <c r="J5" s="104">
        <f>+ACCUM!I116</f>
        <v>48843</v>
      </c>
      <c r="K5" s="105">
        <f>+ACCUM!J116</f>
        <v>48843</v>
      </c>
      <c r="L5" s="15"/>
      <c r="M5" s="15"/>
    </row>
    <row r="6" spans="2:13" ht="15" customHeight="1" x14ac:dyDescent="0.25">
      <c r="B6" s="99">
        <v>2</v>
      </c>
      <c r="C6" s="106">
        <f>+ACCUM!B117</f>
        <v>46623</v>
      </c>
      <c r="D6" s="104">
        <f>+ACCUM!C117</f>
        <v>47511</v>
      </c>
      <c r="E6" s="106">
        <f>+ACCUM!D117</f>
        <v>48843</v>
      </c>
      <c r="F6" s="104">
        <f>+ACCUM!E117</f>
        <v>51063</v>
      </c>
      <c r="G6" s="106">
        <f>+ACCUM!F117</f>
        <v>51507</v>
      </c>
      <c r="H6" s="104">
        <f>+ACCUM!G117</f>
        <v>51507</v>
      </c>
      <c r="I6" s="106">
        <f>+ACCUM!H117</f>
        <v>51507</v>
      </c>
      <c r="J6" s="104">
        <f>+ACCUM!I117</f>
        <v>51507</v>
      </c>
      <c r="K6" s="105">
        <f>+ACCUM!J117</f>
        <v>51507</v>
      </c>
      <c r="L6" s="15"/>
      <c r="M6" s="15"/>
    </row>
    <row r="7" spans="2:13" ht="15" customHeight="1" x14ac:dyDescent="0.25">
      <c r="B7" s="99">
        <v>3</v>
      </c>
      <c r="C7" s="106">
        <f>+ACCUM!B118</f>
        <v>48843</v>
      </c>
      <c r="D7" s="104">
        <f>+ACCUM!C118</f>
        <v>49731</v>
      </c>
      <c r="E7" s="106">
        <f>+ACCUM!D118</f>
        <v>51063</v>
      </c>
      <c r="F7" s="104">
        <f>+ACCUM!E118</f>
        <v>53284</v>
      </c>
      <c r="G7" s="106">
        <f>+ACCUM!F118</f>
        <v>53727</v>
      </c>
      <c r="H7" s="104">
        <f>+ACCUM!G118</f>
        <v>54171</v>
      </c>
      <c r="I7" s="106">
        <f>+ACCUM!H118</f>
        <v>54171</v>
      </c>
      <c r="J7" s="104">
        <f>+ACCUM!I118</f>
        <v>54171</v>
      </c>
      <c r="K7" s="105">
        <f>+ACCUM!J118</f>
        <v>54171</v>
      </c>
      <c r="L7" s="15"/>
      <c r="M7" s="15"/>
    </row>
    <row r="8" spans="2:13" ht="15" customHeight="1" x14ac:dyDescent="0.25">
      <c r="B8" s="99">
        <v>4</v>
      </c>
      <c r="C8" s="106">
        <f>+ACCUM!B119</f>
        <v>51063</v>
      </c>
      <c r="D8" s="104">
        <f>+ACCUM!C119</f>
        <v>51951</v>
      </c>
      <c r="E8" s="106">
        <f>+ACCUM!D119</f>
        <v>53284</v>
      </c>
      <c r="F8" s="104">
        <f>+ACCUM!E119</f>
        <v>55504</v>
      </c>
      <c r="G8" s="106">
        <f>+ACCUM!F119</f>
        <v>55948</v>
      </c>
      <c r="H8" s="104">
        <f>+ACCUM!G119</f>
        <v>56391</v>
      </c>
      <c r="I8" s="106">
        <f>+ACCUM!H119</f>
        <v>57724</v>
      </c>
      <c r="J8" s="104">
        <f>+ACCUM!I119</f>
        <v>58612</v>
      </c>
      <c r="K8" s="105">
        <f>+ACCUM!J119</f>
        <v>58612</v>
      </c>
      <c r="L8" s="15"/>
      <c r="M8" s="15"/>
    </row>
    <row r="9" spans="2:13" ht="15" customHeight="1" x14ac:dyDescent="0.25">
      <c r="B9" s="99">
        <v>5</v>
      </c>
      <c r="C9" s="106">
        <f>+ACCUM!B120</f>
        <v>53284</v>
      </c>
      <c r="D9" s="104">
        <f>+ACCUM!C120</f>
        <v>54171</v>
      </c>
      <c r="E9" s="106">
        <f>+ACCUM!D120</f>
        <v>55504</v>
      </c>
      <c r="F9" s="104">
        <f>+ACCUM!E120</f>
        <v>57724</v>
      </c>
      <c r="G9" s="106">
        <f>+ACCUM!F120</f>
        <v>58168</v>
      </c>
      <c r="H9" s="104">
        <f>+ACCUM!G120</f>
        <v>58612</v>
      </c>
      <c r="I9" s="106">
        <f>+ACCUM!H120</f>
        <v>59944</v>
      </c>
      <c r="J9" s="104">
        <f>+ACCUM!I120</f>
        <v>60832</v>
      </c>
      <c r="K9" s="105">
        <f>+ACCUM!J120</f>
        <v>62164</v>
      </c>
      <c r="L9" s="15"/>
      <c r="M9" s="15"/>
    </row>
    <row r="10" spans="2:13" ht="15" customHeight="1" x14ac:dyDescent="0.25">
      <c r="B10" s="99">
        <v>6</v>
      </c>
      <c r="C10" s="106">
        <f>+ACCUM!B121</f>
        <v>55504</v>
      </c>
      <c r="D10" s="104">
        <f>+ACCUM!C121</f>
        <v>56391</v>
      </c>
      <c r="E10" s="106">
        <f>+ACCUM!D121</f>
        <v>57724</v>
      </c>
      <c r="F10" s="104">
        <f>+ACCUM!E121</f>
        <v>59944</v>
      </c>
      <c r="G10" s="106">
        <f>+ACCUM!F121</f>
        <v>60388</v>
      </c>
      <c r="H10" s="104">
        <f>+ACCUM!G121</f>
        <v>60832</v>
      </c>
      <c r="I10" s="106">
        <f>+ACCUM!H121</f>
        <v>62164</v>
      </c>
      <c r="J10" s="104">
        <f>+ACCUM!I121</f>
        <v>63052</v>
      </c>
      <c r="K10" s="105">
        <f>+ACCUM!J121</f>
        <v>64384</v>
      </c>
      <c r="L10" s="15"/>
      <c r="M10" s="15"/>
    </row>
    <row r="11" spans="2:13" ht="15" customHeight="1" x14ac:dyDescent="0.25">
      <c r="B11" s="99">
        <v>7</v>
      </c>
      <c r="C11" s="106">
        <f>+ACCUM!B122</f>
        <v>57280</v>
      </c>
      <c r="D11" s="104">
        <f>+ACCUM!C122</f>
        <v>58168</v>
      </c>
      <c r="E11" s="106">
        <f>+ACCUM!D122</f>
        <v>59500</v>
      </c>
      <c r="F11" s="104">
        <f>+ACCUM!E122</f>
        <v>62164</v>
      </c>
      <c r="G11" s="106">
        <f>+ACCUM!F122</f>
        <v>62608</v>
      </c>
      <c r="H11" s="104">
        <f>+ACCUM!G122</f>
        <v>63052</v>
      </c>
      <c r="I11" s="106">
        <f>+ACCUM!H122</f>
        <v>64384</v>
      </c>
      <c r="J11" s="104">
        <f>+ACCUM!I122</f>
        <v>65272</v>
      </c>
      <c r="K11" s="105">
        <f>+ACCUM!J122</f>
        <v>66605</v>
      </c>
      <c r="L11" s="15"/>
      <c r="M11" s="15"/>
    </row>
    <row r="12" spans="2:13" ht="15" customHeight="1" x14ac:dyDescent="0.25">
      <c r="B12" s="99">
        <v>8</v>
      </c>
      <c r="C12" s="106">
        <f>+ACCUM!B123</f>
        <v>58612</v>
      </c>
      <c r="D12" s="104">
        <f>+ACCUM!C123</f>
        <v>59944</v>
      </c>
      <c r="E12" s="106">
        <f>+ACCUM!D123</f>
        <v>61277</v>
      </c>
      <c r="F12" s="104">
        <f>+ACCUM!E123</f>
        <v>64384</v>
      </c>
      <c r="G12" s="106">
        <f>+ACCUM!F123</f>
        <v>64828</v>
      </c>
      <c r="H12" s="104">
        <f>+ACCUM!G123</f>
        <v>65272</v>
      </c>
      <c r="I12" s="106">
        <f>+ACCUM!H123</f>
        <v>66605</v>
      </c>
      <c r="J12" s="104">
        <f>+ACCUM!I123</f>
        <v>67492</v>
      </c>
      <c r="K12" s="105">
        <f>+ACCUM!J123</f>
        <v>68825</v>
      </c>
      <c r="L12" s="15"/>
      <c r="M12" s="15"/>
    </row>
    <row r="13" spans="2:13" ht="15" customHeight="1" x14ac:dyDescent="0.25">
      <c r="B13" s="99">
        <v>9</v>
      </c>
      <c r="C13" s="106">
        <f>+ACCUM!B124</f>
        <v>59944</v>
      </c>
      <c r="D13" s="104">
        <f>+ACCUM!C124</f>
        <v>61277</v>
      </c>
      <c r="E13" s="106">
        <f>+ACCUM!D124</f>
        <v>63052</v>
      </c>
      <c r="F13" s="104">
        <f>+ACCUM!E124</f>
        <v>66161</v>
      </c>
      <c r="G13" s="106">
        <f>+ACCUM!F124</f>
        <v>66605</v>
      </c>
      <c r="H13" s="104">
        <f>+ACCUM!G124</f>
        <v>67492</v>
      </c>
      <c r="I13" s="106">
        <f>+ACCUM!H124</f>
        <v>68825</v>
      </c>
      <c r="J13" s="104">
        <f>+ACCUM!I124</f>
        <v>69712</v>
      </c>
      <c r="K13" s="105">
        <f>+ACCUM!J124</f>
        <v>71045</v>
      </c>
      <c r="L13" s="15"/>
      <c r="M13" s="15"/>
    </row>
    <row r="14" spans="2:13" ht="15" customHeight="1" x14ac:dyDescent="0.25">
      <c r="B14" s="99">
        <v>10</v>
      </c>
      <c r="C14" s="106">
        <f>+ACCUM!B125</f>
        <v>61277</v>
      </c>
      <c r="D14" s="104">
        <f>+ACCUM!C125</f>
        <v>62608</v>
      </c>
      <c r="E14" s="106">
        <f>+ACCUM!D125</f>
        <v>64384</v>
      </c>
      <c r="F14" s="104">
        <f>+ACCUM!E125</f>
        <v>67937</v>
      </c>
      <c r="G14" s="106">
        <f>+ACCUM!F125</f>
        <v>68381</v>
      </c>
      <c r="H14" s="104">
        <f>+ACCUM!G125</f>
        <v>69268</v>
      </c>
      <c r="I14" s="106">
        <f>+ACCUM!H125</f>
        <v>71045</v>
      </c>
      <c r="J14" s="104">
        <f>+ACCUM!I125</f>
        <v>71932</v>
      </c>
      <c r="K14" s="105">
        <f>+ACCUM!J125</f>
        <v>73265</v>
      </c>
      <c r="L14" s="15"/>
      <c r="M14" s="15"/>
    </row>
    <row r="15" spans="2:13" ht="15" customHeight="1" x14ac:dyDescent="0.25">
      <c r="B15" s="99">
        <v>11</v>
      </c>
      <c r="C15" s="106">
        <f>+ACCUM!B126</f>
        <v>62608</v>
      </c>
      <c r="D15" s="104">
        <f>+ACCUM!C126</f>
        <v>63941</v>
      </c>
      <c r="E15" s="106">
        <f>+ACCUM!D126</f>
        <v>65717</v>
      </c>
      <c r="F15" s="104">
        <f>+ACCUM!E126</f>
        <v>69268</v>
      </c>
      <c r="G15" s="106">
        <f>+ACCUM!F126</f>
        <v>70157</v>
      </c>
      <c r="H15" s="104">
        <f>+ACCUM!G126</f>
        <v>71045</v>
      </c>
      <c r="I15" s="106">
        <f>+ACCUM!H126</f>
        <v>72821</v>
      </c>
      <c r="J15" s="104">
        <f>+ACCUM!I126</f>
        <v>74153</v>
      </c>
      <c r="K15" s="105">
        <f>+ACCUM!J126</f>
        <v>75485</v>
      </c>
      <c r="L15" s="15"/>
      <c r="M15" s="15"/>
    </row>
    <row r="16" spans="2:13" ht="15" customHeight="1" x14ac:dyDescent="0.25">
      <c r="B16" s="99">
        <v>12</v>
      </c>
      <c r="C16" s="106">
        <f>+ACCUM!B127</f>
        <v>63941</v>
      </c>
      <c r="D16" s="104">
        <f>+ACCUM!C127</f>
        <v>65272</v>
      </c>
      <c r="E16" s="106">
        <f>+ACCUM!D127</f>
        <v>67048</v>
      </c>
      <c r="F16" s="104">
        <f>+ACCUM!E127</f>
        <v>70601</v>
      </c>
      <c r="G16" s="106">
        <f>+ACCUM!F127</f>
        <v>71489</v>
      </c>
      <c r="H16" s="104">
        <f>+ACCUM!G127</f>
        <v>72821</v>
      </c>
      <c r="I16" s="106">
        <f>+ACCUM!H127</f>
        <v>74597</v>
      </c>
      <c r="J16" s="104">
        <f>+ACCUM!I127</f>
        <v>75929</v>
      </c>
      <c r="K16" s="105">
        <f>+ACCUM!J127</f>
        <v>77705</v>
      </c>
      <c r="L16" s="15"/>
      <c r="M16" s="15"/>
    </row>
    <row r="17" spans="2:13" ht="15" customHeight="1" x14ac:dyDescent="0.25">
      <c r="B17" s="99">
        <v>13</v>
      </c>
      <c r="C17" s="106">
        <f>+ACCUM!B128</f>
        <v>64828</v>
      </c>
      <c r="D17" s="104">
        <f>+ACCUM!C128</f>
        <v>66161</v>
      </c>
      <c r="E17" s="106">
        <f>+ACCUM!D128</f>
        <v>68381</v>
      </c>
      <c r="F17" s="104">
        <f>+ACCUM!E128</f>
        <v>71932</v>
      </c>
      <c r="G17" s="106">
        <f>+ACCUM!F128</f>
        <v>72821</v>
      </c>
      <c r="H17" s="104">
        <f>+ACCUM!G128</f>
        <v>74597</v>
      </c>
      <c r="I17" s="106">
        <f>+ACCUM!H128</f>
        <v>76373</v>
      </c>
      <c r="J17" s="104">
        <f>+ACCUM!I128</f>
        <v>77705</v>
      </c>
      <c r="K17" s="105">
        <f>+ACCUM!J128</f>
        <v>79925</v>
      </c>
      <c r="L17" s="15"/>
      <c r="M17" s="15"/>
    </row>
    <row r="18" spans="2:13" ht="15" customHeight="1" x14ac:dyDescent="0.25">
      <c r="B18" s="99">
        <v>14</v>
      </c>
      <c r="C18" s="106">
        <f>+ACCUM!B129</f>
        <v>65717</v>
      </c>
      <c r="D18" s="104">
        <f>+ACCUM!C129</f>
        <v>67048</v>
      </c>
      <c r="E18" s="106">
        <f>+ACCUM!D129</f>
        <v>69712</v>
      </c>
      <c r="F18" s="104">
        <f>+ACCUM!E129</f>
        <v>73265</v>
      </c>
      <c r="G18" s="106">
        <f>+ACCUM!F129</f>
        <v>74153</v>
      </c>
      <c r="H18" s="104">
        <f>+ACCUM!G129</f>
        <v>75929</v>
      </c>
      <c r="I18" s="106">
        <f>+ACCUM!H129</f>
        <v>78149</v>
      </c>
      <c r="J18" s="104">
        <f>+ACCUM!I129</f>
        <v>79482</v>
      </c>
      <c r="K18" s="105">
        <f>+ACCUM!J129</f>
        <v>82146</v>
      </c>
      <c r="L18" s="15"/>
      <c r="M18" s="15"/>
    </row>
    <row r="19" spans="2:13" ht="15" customHeight="1" x14ac:dyDescent="0.25">
      <c r="B19" s="99">
        <v>15</v>
      </c>
      <c r="C19" s="106">
        <f>+ACCUM!B130</f>
        <v>66605</v>
      </c>
      <c r="D19" s="104">
        <f>+ACCUM!C130</f>
        <v>67937</v>
      </c>
      <c r="E19" s="106">
        <f>+ACCUM!D130</f>
        <v>70601</v>
      </c>
      <c r="F19" s="104">
        <f>+ACCUM!E130</f>
        <v>74597</v>
      </c>
      <c r="G19" s="106">
        <f>+ACCUM!F130</f>
        <v>75485</v>
      </c>
      <c r="H19" s="104">
        <f>+ACCUM!G130</f>
        <v>77261</v>
      </c>
      <c r="I19" s="106">
        <f>+ACCUM!H130</f>
        <v>79925</v>
      </c>
      <c r="J19" s="104">
        <f>+ACCUM!I130</f>
        <v>81258</v>
      </c>
      <c r="K19" s="105">
        <f>+ACCUM!J130</f>
        <v>84366</v>
      </c>
      <c r="L19" s="15"/>
      <c r="M19" s="15"/>
    </row>
    <row r="20" spans="2:13" ht="15" customHeight="1" x14ac:dyDescent="0.25">
      <c r="B20" s="99">
        <v>16</v>
      </c>
      <c r="C20" s="106">
        <f>+ACCUM!B131</f>
        <v>66605</v>
      </c>
      <c r="D20" s="104">
        <f>+ACCUM!C131</f>
        <v>67937</v>
      </c>
      <c r="E20" s="106">
        <f>+ACCUM!D131</f>
        <v>70601</v>
      </c>
      <c r="F20" s="104">
        <f>+ACCUM!E131</f>
        <v>74597</v>
      </c>
      <c r="G20" s="106">
        <f>+ACCUM!F131</f>
        <v>75485</v>
      </c>
      <c r="H20" s="104">
        <f>+ACCUM!G131</f>
        <v>77261</v>
      </c>
      <c r="I20" s="106">
        <f>+ACCUM!H131</f>
        <v>79925</v>
      </c>
      <c r="J20" s="104">
        <f>+ACCUM!I131</f>
        <v>81258</v>
      </c>
      <c r="K20" s="105">
        <f>+ACCUM!J131</f>
        <v>84366</v>
      </c>
      <c r="L20" s="15"/>
      <c r="M20" s="15"/>
    </row>
    <row r="21" spans="2:13" ht="15" customHeight="1" x14ac:dyDescent="0.25">
      <c r="B21" s="99">
        <v>17</v>
      </c>
      <c r="C21" s="106">
        <f>+ACCUM!B132</f>
        <v>66605</v>
      </c>
      <c r="D21" s="104">
        <f>+ACCUM!C132</f>
        <v>67937</v>
      </c>
      <c r="E21" s="106">
        <f>+ACCUM!D132</f>
        <v>70601</v>
      </c>
      <c r="F21" s="104">
        <f>+ACCUM!E132</f>
        <v>74597</v>
      </c>
      <c r="G21" s="106">
        <f>+ACCUM!F132</f>
        <v>75485</v>
      </c>
      <c r="H21" s="104">
        <f>+ACCUM!G132</f>
        <v>77261</v>
      </c>
      <c r="I21" s="106">
        <f>+ACCUM!H132</f>
        <v>79925</v>
      </c>
      <c r="J21" s="104">
        <f>+ACCUM!I132</f>
        <v>81258</v>
      </c>
      <c r="K21" s="105">
        <f>+ACCUM!J132</f>
        <v>84366</v>
      </c>
      <c r="L21" s="15"/>
      <c r="M21" s="15"/>
    </row>
    <row r="22" spans="2:13" ht="15" customHeight="1" x14ac:dyDescent="0.25">
      <c r="B22" s="99">
        <v>18</v>
      </c>
      <c r="C22" s="106">
        <f>+ACCUM!B133</f>
        <v>66605</v>
      </c>
      <c r="D22" s="104">
        <f>+ACCUM!C133</f>
        <v>67937</v>
      </c>
      <c r="E22" s="106">
        <f>+ACCUM!D133</f>
        <v>70601</v>
      </c>
      <c r="F22" s="104">
        <f>+ACCUM!E133</f>
        <v>74597</v>
      </c>
      <c r="G22" s="106">
        <f>+ACCUM!F133</f>
        <v>75485</v>
      </c>
      <c r="H22" s="104">
        <f>+ACCUM!G133</f>
        <v>77261</v>
      </c>
      <c r="I22" s="106">
        <f>+ACCUM!H133</f>
        <v>79925</v>
      </c>
      <c r="J22" s="104">
        <f>+ACCUM!I133</f>
        <v>81258</v>
      </c>
      <c r="K22" s="105">
        <f>+ACCUM!J133</f>
        <v>84366</v>
      </c>
      <c r="L22" s="15"/>
      <c r="M22" s="15"/>
    </row>
    <row r="23" spans="2:13" ht="15" customHeight="1" x14ac:dyDescent="0.25">
      <c r="B23" s="99">
        <v>19</v>
      </c>
      <c r="C23" s="106">
        <f>+ACCUM!B134</f>
        <v>66605</v>
      </c>
      <c r="D23" s="104">
        <f>+ACCUM!C134</f>
        <v>67937</v>
      </c>
      <c r="E23" s="106">
        <f>+ACCUM!D134</f>
        <v>70601</v>
      </c>
      <c r="F23" s="104">
        <f>+ACCUM!E134</f>
        <v>74597</v>
      </c>
      <c r="G23" s="106">
        <f>+ACCUM!F134</f>
        <v>75485</v>
      </c>
      <c r="H23" s="104">
        <f>+ACCUM!G134</f>
        <v>77261</v>
      </c>
      <c r="I23" s="106">
        <f>+ACCUM!H134</f>
        <v>79925</v>
      </c>
      <c r="J23" s="104">
        <f>+ACCUM!I134</f>
        <v>81258</v>
      </c>
      <c r="K23" s="105">
        <f>+ACCUM!J134</f>
        <v>84366</v>
      </c>
      <c r="L23" s="15"/>
      <c r="M23" s="15"/>
    </row>
    <row r="24" spans="2:13" ht="15" customHeight="1" thickBot="1" x14ac:dyDescent="0.3">
      <c r="B24" s="100">
        <v>20</v>
      </c>
      <c r="C24" s="109">
        <f>+ACCUM!B135</f>
        <v>68381</v>
      </c>
      <c r="D24" s="107">
        <f>+ACCUM!C135</f>
        <v>69712</v>
      </c>
      <c r="E24" s="109">
        <f>+ACCUM!D135</f>
        <v>72377</v>
      </c>
      <c r="F24" s="107">
        <f>+ACCUM!E135</f>
        <v>76373</v>
      </c>
      <c r="G24" s="109">
        <f>+ACCUM!F135</f>
        <v>77261</v>
      </c>
      <c r="H24" s="107">
        <f>+ACCUM!G135</f>
        <v>79038</v>
      </c>
      <c r="I24" s="109">
        <f>+ACCUM!H135</f>
        <v>81702</v>
      </c>
      <c r="J24" s="107">
        <f>+ACCUM!I135</f>
        <v>83033</v>
      </c>
      <c r="K24" s="108">
        <f>+ACCUM!J135</f>
        <v>86142</v>
      </c>
      <c r="L24" s="15"/>
      <c r="M24" s="15"/>
    </row>
    <row r="25" spans="2:13" ht="15" customHeight="1" x14ac:dyDescent="0.25">
      <c r="B25" s="18"/>
      <c r="C25" s="15"/>
      <c r="D25" s="15"/>
      <c r="E25" s="15"/>
      <c r="F25" s="15"/>
      <c r="G25" s="15"/>
      <c r="H25" s="15"/>
      <c r="I25" s="15"/>
      <c r="J25" s="15"/>
      <c r="K25" s="15"/>
      <c r="L25" s="15"/>
      <c r="M25" s="15"/>
    </row>
    <row r="26" spans="2:13" ht="15" customHeight="1" x14ac:dyDescent="0.25">
      <c r="B26" s="20"/>
      <c r="C26" s="19"/>
    </row>
    <row r="27" spans="2:13" ht="15" customHeight="1" x14ac:dyDescent="0.3">
      <c r="C27" s="19"/>
    </row>
    <row r="28" spans="2:13" ht="15" customHeight="1" x14ac:dyDescent="0.3">
      <c r="C28" s="19"/>
    </row>
    <row r="29" spans="2:13" ht="15" customHeight="1" x14ac:dyDescent="0.3">
      <c r="B29" s="22"/>
      <c r="C29" s="19"/>
    </row>
    <row r="30" spans="2:13" ht="15" customHeight="1" x14ac:dyDescent="0.3">
      <c r="C30" s="19"/>
    </row>
    <row r="31" spans="2:13" ht="15" customHeight="1" x14ac:dyDescent="0.3">
      <c r="C31" s="21"/>
      <c r="D31" s="21"/>
      <c r="E31" s="21"/>
      <c r="F31" s="21"/>
      <c r="G31" s="21"/>
      <c r="H31" s="21"/>
      <c r="I31" s="21"/>
      <c r="J31" s="21"/>
      <c r="K31" s="21"/>
    </row>
    <row r="32" spans="2:13" ht="15" customHeight="1" x14ac:dyDescent="0.3">
      <c r="C32" s="23"/>
      <c r="D32" s="24"/>
      <c r="E32" s="24"/>
      <c r="F32" s="24"/>
      <c r="G32" s="24"/>
      <c r="H32" s="24"/>
      <c r="I32" s="24"/>
      <c r="J32" s="24"/>
      <c r="K32" s="24"/>
    </row>
    <row r="33" spans="3:11" ht="15" customHeight="1" x14ac:dyDescent="0.3">
      <c r="C33" s="23"/>
      <c r="D33" s="23"/>
      <c r="E33" s="23"/>
      <c r="F33" s="23"/>
      <c r="G33" s="23"/>
      <c r="H33" s="23"/>
      <c r="I33" s="23"/>
      <c r="J33" s="23"/>
      <c r="K33" s="23"/>
    </row>
    <row r="34" spans="3:11" ht="15" customHeight="1" x14ac:dyDescent="0.3">
      <c r="C34" s="23"/>
      <c r="D34" s="23"/>
      <c r="E34" s="23"/>
      <c r="F34" s="23"/>
      <c r="G34" s="23"/>
      <c r="H34" s="23"/>
      <c r="I34" s="23"/>
      <c r="J34" s="23"/>
      <c r="K34" s="23"/>
    </row>
    <row r="35" spans="3:11" ht="15" customHeight="1" x14ac:dyDescent="0.3">
      <c r="C35" s="23"/>
      <c r="D35" s="23"/>
      <c r="E35" s="23"/>
      <c r="F35" s="23"/>
      <c r="G35" s="23"/>
      <c r="H35" s="23"/>
      <c r="I35" s="23"/>
      <c r="J35" s="23"/>
      <c r="K35" s="23"/>
    </row>
    <row r="36" spans="3:11" ht="15" customHeight="1" x14ac:dyDescent="0.3">
      <c r="C36" s="23"/>
      <c r="D36" s="23"/>
      <c r="E36" s="23"/>
      <c r="F36" s="23"/>
      <c r="G36" s="23"/>
      <c r="H36" s="23"/>
      <c r="I36" s="23"/>
      <c r="J36" s="23"/>
      <c r="K36" s="23"/>
    </row>
    <row r="37" spans="3:11" ht="15" customHeight="1" x14ac:dyDescent="0.3">
      <c r="C37" s="23"/>
      <c r="D37" s="23"/>
      <c r="E37" s="25"/>
      <c r="F37" s="23"/>
      <c r="G37" s="23"/>
      <c r="H37" s="23"/>
      <c r="I37" s="23"/>
      <c r="J37" s="23"/>
      <c r="K37" s="23"/>
    </row>
    <row r="38" spans="3:11" ht="15" customHeight="1" x14ac:dyDescent="0.3">
      <c r="C38" s="23"/>
      <c r="D38" s="23"/>
      <c r="E38" s="23"/>
      <c r="F38" s="23"/>
      <c r="G38" s="23"/>
      <c r="H38" s="23"/>
      <c r="I38" s="23"/>
      <c r="J38" s="23"/>
      <c r="K38" s="23"/>
    </row>
    <row r="39" spans="3:11" ht="15" customHeight="1" x14ac:dyDescent="0.3">
      <c r="C39" s="23"/>
      <c r="D39" s="23"/>
      <c r="E39" s="23"/>
      <c r="F39" s="23"/>
      <c r="G39" s="23"/>
      <c r="H39" s="23"/>
      <c r="I39" s="23"/>
      <c r="J39" s="23"/>
      <c r="K39" s="23"/>
    </row>
    <row r="40" spans="3:11" ht="15" customHeight="1" x14ac:dyDescent="0.3">
      <c r="C40" s="23"/>
      <c r="D40" s="23"/>
      <c r="E40" s="23"/>
      <c r="F40" s="23"/>
      <c r="G40" s="23"/>
      <c r="H40" s="23"/>
      <c r="I40" s="23"/>
      <c r="J40" s="23"/>
      <c r="K40" s="23"/>
    </row>
    <row r="41" spans="3:11" ht="15" customHeight="1" x14ac:dyDescent="0.3">
      <c r="C41" s="23"/>
      <c r="D41" s="23"/>
      <c r="E41" s="23"/>
      <c r="F41" s="23"/>
      <c r="G41" s="23"/>
      <c r="H41" s="23"/>
      <c r="I41" s="23"/>
      <c r="J41" s="23"/>
      <c r="K41" s="23"/>
    </row>
    <row r="42" spans="3:11" ht="15" customHeight="1" x14ac:dyDescent="0.3">
      <c r="C42" s="23"/>
      <c r="D42" s="23"/>
      <c r="E42" s="23"/>
      <c r="F42" s="23"/>
      <c r="G42" s="23"/>
      <c r="H42" s="23"/>
      <c r="I42" s="23"/>
      <c r="J42" s="23"/>
      <c r="K42" s="23"/>
    </row>
    <row r="43" spans="3:11" ht="15" customHeight="1" x14ac:dyDescent="0.3">
      <c r="C43" s="23"/>
      <c r="D43" s="23"/>
      <c r="E43" s="23"/>
      <c r="F43" s="23"/>
      <c r="G43" s="23"/>
      <c r="H43" s="23"/>
      <c r="I43" s="23"/>
      <c r="J43" s="23"/>
      <c r="K43" s="23"/>
    </row>
    <row r="44" spans="3:11" ht="15" customHeight="1" x14ac:dyDescent="0.3">
      <c r="C44" s="23"/>
      <c r="D44" s="23"/>
      <c r="E44" s="23"/>
      <c r="F44" s="23"/>
      <c r="G44" s="23"/>
      <c r="H44" s="23"/>
      <c r="I44" s="23"/>
      <c r="J44" s="23"/>
      <c r="K44" s="23"/>
    </row>
    <row r="45" spans="3:11" ht="15" customHeight="1" x14ac:dyDescent="0.3">
      <c r="C45" s="23"/>
      <c r="D45" s="23"/>
      <c r="E45" s="23"/>
      <c r="F45" s="23"/>
      <c r="G45" s="23"/>
      <c r="H45" s="23"/>
      <c r="I45" s="23"/>
      <c r="J45" s="23"/>
      <c r="K45" s="23"/>
    </row>
    <row r="46" spans="3:11" ht="15" customHeight="1" x14ac:dyDescent="0.3">
      <c r="C46" s="23"/>
      <c r="D46" s="23"/>
      <c r="E46" s="23"/>
      <c r="F46" s="23"/>
      <c r="G46" s="23"/>
      <c r="H46" s="23"/>
      <c r="I46" s="23"/>
      <c r="J46" s="23"/>
      <c r="K46" s="23"/>
    </row>
    <row r="47" spans="3:11" ht="15" customHeight="1" x14ac:dyDescent="0.3">
      <c r="C47" s="23"/>
      <c r="D47" s="23"/>
      <c r="E47" s="23"/>
      <c r="F47" s="23"/>
      <c r="G47" s="23"/>
      <c r="H47" s="23"/>
      <c r="I47" s="23"/>
      <c r="J47" s="23"/>
      <c r="K47" s="23"/>
    </row>
    <row r="48" spans="3:11" ht="15" customHeight="1" x14ac:dyDescent="0.3">
      <c r="C48" s="23"/>
      <c r="D48" s="23"/>
      <c r="E48" s="23"/>
      <c r="F48" s="23"/>
      <c r="G48" s="23"/>
      <c r="H48" s="23"/>
      <c r="I48" s="23"/>
      <c r="J48" s="23"/>
      <c r="K48" s="23"/>
    </row>
    <row r="49" spans="2:12" ht="15" customHeight="1" x14ac:dyDescent="0.3">
      <c r="C49" s="23"/>
      <c r="D49" s="23"/>
      <c r="E49" s="23"/>
      <c r="F49" s="23"/>
      <c r="G49" s="23"/>
      <c r="H49" s="23"/>
      <c r="I49" s="23"/>
      <c r="J49" s="23"/>
      <c r="K49" s="23"/>
    </row>
    <row r="50" spans="2:12" ht="15" customHeight="1" x14ac:dyDescent="0.3">
      <c r="C50" s="23"/>
      <c r="D50" s="23"/>
      <c r="E50" s="23"/>
      <c r="F50" s="23"/>
      <c r="G50" s="23"/>
      <c r="H50" s="23"/>
      <c r="I50" s="23"/>
      <c r="J50" s="23"/>
      <c r="K50" s="23"/>
    </row>
    <row r="51" spans="2:12" ht="15" customHeight="1" x14ac:dyDescent="0.3">
      <c r="C51" s="23"/>
      <c r="D51" s="23"/>
      <c r="E51" s="23"/>
      <c r="F51" s="23"/>
      <c r="G51" s="23"/>
      <c r="H51" s="23"/>
      <c r="I51" s="23"/>
      <c r="J51" s="23"/>
      <c r="K51" s="23"/>
    </row>
    <row r="52" spans="2:12" ht="15" customHeight="1" x14ac:dyDescent="0.3">
      <c r="C52" s="23"/>
      <c r="D52" s="23"/>
      <c r="E52" s="23"/>
      <c r="F52" s="23"/>
      <c r="G52" s="23"/>
      <c r="H52" s="23"/>
      <c r="I52" s="23"/>
      <c r="J52" s="23"/>
      <c r="K52" s="23"/>
    </row>
    <row r="53" spans="2:12" ht="15" customHeight="1" x14ac:dyDescent="0.3">
      <c r="C53" s="19"/>
    </row>
    <row r="54" spans="2:12" ht="15" customHeight="1" x14ac:dyDescent="0.3">
      <c r="C54" s="23"/>
      <c r="D54" s="23"/>
      <c r="E54" s="23"/>
      <c r="F54" s="23"/>
      <c r="G54" s="23"/>
      <c r="H54" s="23"/>
      <c r="I54" s="23"/>
      <c r="J54" s="23"/>
      <c r="K54" s="23"/>
      <c r="L54" s="24"/>
    </row>
    <row r="55" spans="2:12" ht="15" customHeight="1" x14ac:dyDescent="0.3">
      <c r="C55" s="23"/>
      <c r="D55" s="23"/>
      <c r="E55" s="23"/>
      <c r="F55" s="23"/>
      <c r="G55" s="23"/>
      <c r="H55" s="23"/>
      <c r="I55" s="23"/>
      <c r="J55" s="23"/>
      <c r="K55" s="23"/>
    </row>
    <row r="56" spans="2:12" ht="15" customHeight="1" x14ac:dyDescent="0.3">
      <c r="C56" s="19"/>
      <c r="H56" s="10"/>
      <c r="K56" s="11"/>
    </row>
    <row r="57" spans="2:12" ht="15" customHeight="1" x14ac:dyDescent="0.3">
      <c r="C57" s="19"/>
    </row>
    <row r="58" spans="2:12" ht="15" customHeight="1" x14ac:dyDescent="0.3">
      <c r="B58" s="22"/>
      <c r="C58" s="19"/>
    </row>
    <row r="59" spans="2:12" ht="15" customHeight="1" x14ac:dyDescent="0.3">
      <c r="C59" s="19"/>
    </row>
    <row r="60" spans="2:12" ht="15" customHeight="1" x14ac:dyDescent="0.3">
      <c r="C60" s="21"/>
      <c r="D60" s="21"/>
      <c r="E60" s="21"/>
      <c r="F60" s="21"/>
      <c r="G60" s="21"/>
      <c r="H60" s="21"/>
      <c r="I60" s="21"/>
      <c r="J60" s="21"/>
      <c r="K60" s="21"/>
    </row>
    <row r="62" spans="2:12" ht="15" customHeight="1" x14ac:dyDescent="0.3">
      <c r="C62" s="26"/>
      <c r="D62" s="26"/>
      <c r="E62" s="26"/>
      <c r="F62" s="26"/>
      <c r="G62" s="26"/>
      <c r="H62" s="26"/>
      <c r="I62" s="26"/>
      <c r="J62" s="26"/>
      <c r="K62" s="26"/>
    </row>
    <row r="63" spans="2:12" ht="15" customHeight="1" x14ac:dyDescent="0.3">
      <c r="C63" s="26"/>
      <c r="D63" s="26"/>
      <c r="E63" s="26"/>
      <c r="F63" s="26"/>
      <c r="G63" s="26"/>
      <c r="H63" s="26"/>
      <c r="I63" s="26"/>
      <c r="J63" s="26"/>
      <c r="K63" s="26"/>
    </row>
    <row r="64" spans="2:12" ht="15" customHeight="1" x14ac:dyDescent="0.3">
      <c r="C64" s="26"/>
      <c r="D64" s="26"/>
      <c r="E64" s="26"/>
      <c r="F64" s="26"/>
      <c r="G64" s="26"/>
      <c r="H64" s="26"/>
      <c r="I64" s="26"/>
      <c r="J64" s="26"/>
      <c r="K64" s="26"/>
    </row>
    <row r="65" spans="3:11" ht="15" customHeight="1" x14ac:dyDescent="0.3">
      <c r="C65" s="26"/>
      <c r="D65" s="26"/>
      <c r="E65" s="26"/>
      <c r="F65" s="26"/>
      <c r="G65" s="26"/>
      <c r="H65" s="26"/>
      <c r="I65" s="26"/>
      <c r="J65" s="26"/>
      <c r="K65" s="26"/>
    </row>
    <row r="66" spans="3:11" ht="15" customHeight="1" x14ac:dyDescent="0.3">
      <c r="C66" s="26"/>
      <c r="D66" s="26"/>
      <c r="E66" s="26"/>
      <c r="F66" s="26"/>
      <c r="G66" s="26"/>
      <c r="H66" s="26"/>
      <c r="I66" s="26"/>
      <c r="J66" s="26"/>
      <c r="K66" s="26"/>
    </row>
    <row r="67" spans="3:11" ht="15" customHeight="1" x14ac:dyDescent="0.3">
      <c r="C67" s="26"/>
      <c r="D67" s="26"/>
      <c r="E67" s="26"/>
      <c r="F67" s="26"/>
      <c r="G67" s="26"/>
      <c r="H67" s="26"/>
      <c r="I67" s="26"/>
      <c r="J67" s="26"/>
      <c r="K67" s="26"/>
    </row>
    <row r="68" spans="3:11" ht="15" customHeight="1" x14ac:dyDescent="0.3">
      <c r="C68" s="26"/>
      <c r="D68" s="26"/>
      <c r="E68" s="26"/>
      <c r="F68" s="26"/>
      <c r="G68" s="26"/>
      <c r="H68" s="26"/>
      <c r="I68" s="26"/>
      <c r="J68" s="26"/>
      <c r="K68" s="26"/>
    </row>
    <row r="69" spans="3:11" ht="15" customHeight="1" x14ac:dyDescent="0.3">
      <c r="C69" s="26"/>
      <c r="D69" s="26"/>
      <c r="E69" s="26"/>
      <c r="F69" s="26"/>
      <c r="G69" s="26"/>
      <c r="H69" s="26"/>
      <c r="I69" s="26"/>
      <c r="J69" s="26"/>
      <c r="K69" s="26"/>
    </row>
    <row r="70" spans="3:11" ht="15" customHeight="1" x14ac:dyDescent="0.3">
      <c r="C70" s="26"/>
      <c r="D70" s="26"/>
      <c r="E70" s="26"/>
      <c r="F70" s="26"/>
      <c r="G70" s="26"/>
      <c r="H70" s="26"/>
      <c r="I70" s="26"/>
      <c r="J70" s="26"/>
      <c r="K70" s="26"/>
    </row>
    <row r="71" spans="3:11" ht="15" customHeight="1" x14ac:dyDescent="0.3">
      <c r="C71" s="26"/>
      <c r="D71" s="26"/>
      <c r="E71" s="26"/>
      <c r="F71" s="26"/>
      <c r="G71" s="26"/>
      <c r="H71" s="26"/>
      <c r="I71" s="26"/>
      <c r="J71" s="26"/>
      <c r="K71" s="26"/>
    </row>
    <row r="72" spans="3:11" ht="15" customHeight="1" x14ac:dyDescent="0.3">
      <c r="C72" s="26"/>
      <c r="D72" s="26"/>
      <c r="E72" s="26"/>
      <c r="F72" s="26"/>
      <c r="G72" s="26"/>
      <c r="H72" s="26"/>
      <c r="I72" s="26"/>
      <c r="J72" s="26"/>
      <c r="K72" s="26"/>
    </row>
    <row r="73" spans="3:11" ht="15" customHeight="1" x14ac:dyDescent="0.3">
      <c r="C73" s="26"/>
      <c r="D73" s="26"/>
      <c r="E73" s="26"/>
      <c r="F73" s="26"/>
      <c r="G73" s="26"/>
      <c r="H73" s="26"/>
      <c r="I73" s="26"/>
      <c r="J73" s="26"/>
      <c r="K73" s="26"/>
    </row>
    <row r="74" spans="3:11" ht="15" customHeight="1" x14ac:dyDescent="0.3">
      <c r="C74" s="26"/>
      <c r="D74" s="26"/>
      <c r="E74" s="26"/>
      <c r="F74" s="26"/>
      <c r="G74" s="26"/>
      <c r="H74" s="26"/>
      <c r="I74" s="26"/>
      <c r="J74" s="26"/>
      <c r="K74" s="26"/>
    </row>
    <row r="75" spans="3:11" ht="15" customHeight="1" x14ac:dyDescent="0.3">
      <c r="C75" s="26"/>
      <c r="D75" s="26"/>
      <c r="E75" s="26"/>
      <c r="F75" s="26"/>
      <c r="G75" s="26"/>
      <c r="H75" s="26"/>
      <c r="I75" s="26"/>
      <c r="J75" s="26"/>
      <c r="K75" s="26"/>
    </row>
    <row r="76" spans="3:11" ht="15" customHeight="1" x14ac:dyDescent="0.3">
      <c r="C76" s="26"/>
      <c r="D76" s="26"/>
      <c r="E76" s="26"/>
      <c r="F76" s="26"/>
      <c r="G76" s="26"/>
      <c r="H76" s="26"/>
      <c r="I76" s="26"/>
      <c r="J76" s="26"/>
      <c r="K76" s="26"/>
    </row>
    <row r="77" spans="3:11" ht="15" customHeight="1" x14ac:dyDescent="0.3">
      <c r="C77" s="26"/>
      <c r="D77" s="26"/>
      <c r="E77" s="26"/>
      <c r="F77" s="26"/>
      <c r="G77" s="26"/>
      <c r="H77" s="26"/>
      <c r="I77" s="26"/>
      <c r="J77" s="26"/>
      <c r="K77" s="26"/>
    </row>
    <row r="78" spans="3:11" ht="15" customHeight="1" x14ac:dyDescent="0.3">
      <c r="C78" s="26"/>
      <c r="D78" s="26"/>
      <c r="E78" s="26"/>
      <c r="F78" s="26"/>
      <c r="G78" s="26"/>
      <c r="H78" s="26"/>
      <c r="I78" s="26"/>
      <c r="J78" s="26"/>
      <c r="K78" s="26"/>
    </row>
    <row r="79" spans="3:11" ht="15" customHeight="1" x14ac:dyDescent="0.3">
      <c r="C79" s="26"/>
      <c r="D79" s="26"/>
      <c r="E79" s="26"/>
      <c r="F79" s="26"/>
      <c r="G79" s="26"/>
      <c r="H79" s="26"/>
      <c r="I79" s="26"/>
      <c r="J79" s="26"/>
      <c r="K79" s="26"/>
    </row>
    <row r="80" spans="3:11" ht="15" customHeight="1" x14ac:dyDescent="0.3">
      <c r="C80" s="26"/>
      <c r="D80" s="26"/>
      <c r="E80" s="26"/>
      <c r="F80" s="26"/>
      <c r="G80" s="26"/>
      <c r="H80" s="26"/>
      <c r="I80" s="26"/>
      <c r="J80" s="26"/>
      <c r="K80" s="26"/>
    </row>
    <row r="81" spans="3:13" ht="15" customHeight="1" x14ac:dyDescent="0.3">
      <c r="C81" s="26"/>
      <c r="D81" s="26"/>
      <c r="E81" s="26"/>
      <c r="F81" s="26"/>
      <c r="G81" s="26"/>
      <c r="H81" s="26"/>
      <c r="I81" s="26"/>
      <c r="J81" s="26"/>
      <c r="K81" s="26"/>
    </row>
    <row r="82" spans="3:13" ht="15" customHeight="1" x14ac:dyDescent="0.3">
      <c r="C82" s="19"/>
    </row>
    <row r="83" spans="3:13" ht="15" customHeight="1" x14ac:dyDescent="0.3">
      <c r="C83" s="27"/>
      <c r="D83" s="27"/>
      <c r="E83" s="27"/>
      <c r="F83" s="27"/>
      <c r="G83" s="27"/>
      <c r="H83" s="27"/>
      <c r="I83" s="27"/>
      <c r="J83" s="27"/>
      <c r="K83" s="27"/>
    </row>
    <row r="84" spans="3:13" ht="15" customHeight="1" x14ac:dyDescent="0.3">
      <c r="C84" s="19"/>
      <c r="L84" s="10"/>
      <c r="M84" s="10"/>
    </row>
    <row r="85" spans="3:13" ht="15" customHeight="1" x14ac:dyDescent="0.3">
      <c r="H85" s="10"/>
      <c r="K85" s="13"/>
      <c r="L85" s="13"/>
      <c r="M85" s="10"/>
    </row>
    <row r="86" spans="3:13" ht="15" customHeight="1" x14ac:dyDescent="0.3">
      <c r="K86" s="13"/>
      <c r="L86" s="10"/>
    </row>
    <row r="87" spans="3:13" ht="15" customHeight="1" x14ac:dyDescent="0.3">
      <c r="K87" s="13"/>
    </row>
  </sheetData>
  <mergeCells count="1">
    <mergeCell ref="B2:J2"/>
  </mergeCells>
  <phoneticPr fontId="5" type="noConversion"/>
  <printOptions horizontalCentered="1"/>
  <pageMargins left="0.7" right="0.7" top="0.75" bottom="0.75" header="0.3" footer="0.3"/>
  <pageSetup scale="92" orientation="landscape" r:id="rId1"/>
  <headerFooter alignWithMargins="0">
    <oddFooter>&amp;L&amp;"Arial,Bold"&amp;F&amp;C&amp;"Arial,Bold"&amp;D &amp;R&amp;"Arial,Bold"Appendix C-16</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A1:J17"/>
  <sheetViews>
    <sheetView showGridLines="0" zoomScale="120" zoomScaleNormal="120" workbookViewId="0">
      <selection activeCell="C4" sqref="C4"/>
    </sheetView>
  </sheetViews>
  <sheetFormatPr defaultColWidth="20.7265625" defaultRowHeight="15" customHeight="1" x14ac:dyDescent="0.25"/>
  <cols>
    <col min="1" max="1" width="3.7265625" style="15" customWidth="1"/>
    <col min="2" max="2" width="15.54296875" style="15" customWidth="1"/>
    <col min="3" max="3" width="15.54296875" style="18" customWidth="1"/>
    <col min="4" max="5" width="15.54296875" style="190" customWidth="1"/>
    <col min="6" max="7" width="15.54296875" style="15" customWidth="1"/>
    <col min="8" max="8" width="3.7265625" style="15" customWidth="1"/>
    <col min="9" max="16384" width="20.7265625" style="15"/>
  </cols>
  <sheetData>
    <row r="1" spans="1:10" ht="15" customHeight="1" thickBot="1" x14ac:dyDescent="0.3">
      <c r="A1" s="31"/>
      <c r="B1" s="31"/>
      <c r="C1" s="34"/>
      <c r="D1" s="189"/>
      <c r="E1" s="189"/>
      <c r="F1" s="31"/>
      <c r="G1" s="31"/>
    </row>
    <row r="2" spans="1:10" s="6" customFormat="1" ht="20.149999999999999" customHeight="1" thickBot="1" x14ac:dyDescent="0.4">
      <c r="A2" s="111"/>
      <c r="B2" s="526" t="s">
        <v>233</v>
      </c>
      <c r="C2" s="527"/>
      <c r="D2" s="527"/>
      <c r="E2" s="527"/>
      <c r="F2" s="527"/>
      <c r="G2" s="116" t="str">
        <f>ACCUM!A3</f>
        <v>FY'23</v>
      </c>
    </row>
    <row r="3" spans="1:10" ht="15" customHeight="1" thickBot="1" x14ac:dyDescent="0.3">
      <c r="A3" s="31"/>
      <c r="C3" s="34"/>
      <c r="D3" s="189"/>
      <c r="E3" s="189"/>
      <c r="F3" s="31"/>
      <c r="G3" s="31"/>
    </row>
    <row r="4" spans="1:10" ht="15" customHeight="1" thickBot="1" x14ac:dyDescent="0.35">
      <c r="A4" s="31"/>
      <c r="C4" s="101" t="s">
        <v>82</v>
      </c>
      <c r="D4" s="191" t="s">
        <v>78</v>
      </c>
      <c r="E4" s="191" t="s">
        <v>216</v>
      </c>
      <c r="F4" s="101" t="s">
        <v>114</v>
      </c>
      <c r="G4" s="31"/>
    </row>
    <row r="5" spans="1:10" ht="15" customHeight="1" x14ac:dyDescent="0.25">
      <c r="A5" s="31"/>
      <c r="C5" s="99">
        <v>1</v>
      </c>
      <c r="D5" s="104">
        <f>+ACCUM!K99</f>
        <v>30031</v>
      </c>
      <c r="E5" s="102">
        <f>+D5/261</f>
        <v>115.06130268199233</v>
      </c>
      <c r="F5" s="192">
        <f t="shared" ref="F5:F14" si="0">+D5/1957</f>
        <v>15.345426673479816</v>
      </c>
      <c r="G5" s="31"/>
    </row>
    <row r="6" spans="1:10" ht="15" customHeight="1" x14ac:dyDescent="0.25">
      <c r="A6" s="31"/>
      <c r="C6" s="99">
        <v>2</v>
      </c>
      <c r="D6" s="104">
        <f>+ACCUM!K100</f>
        <v>30782</v>
      </c>
      <c r="E6" s="102">
        <f t="shared" ref="E6:E15" si="1">+D6/261</f>
        <v>117.93869731800767</v>
      </c>
      <c r="F6" s="192">
        <f t="shared" si="0"/>
        <v>15.72917731221257</v>
      </c>
      <c r="G6" s="31"/>
    </row>
    <row r="7" spans="1:10" ht="15" customHeight="1" x14ac:dyDescent="0.25">
      <c r="A7" s="31"/>
      <c r="C7" s="99">
        <v>3</v>
      </c>
      <c r="D7" s="104">
        <f>+ACCUM!K101</f>
        <v>31532</v>
      </c>
      <c r="E7" s="102">
        <f t="shared" si="1"/>
        <v>120.81226053639847</v>
      </c>
      <c r="F7" s="192">
        <f t="shared" si="0"/>
        <v>16.112416964741954</v>
      </c>
      <c r="G7" s="31"/>
    </row>
    <row r="8" spans="1:10" ht="15" customHeight="1" x14ac:dyDescent="0.25">
      <c r="A8" s="31"/>
      <c r="C8" s="99">
        <v>4</v>
      </c>
      <c r="D8" s="104">
        <f>+ACCUM!K102</f>
        <v>32285</v>
      </c>
      <c r="E8" s="102">
        <f t="shared" si="1"/>
        <v>123.69731800766283</v>
      </c>
      <c r="F8" s="192">
        <f t="shared" si="0"/>
        <v>16.49718957588145</v>
      </c>
      <c r="G8" s="31"/>
    </row>
    <row r="9" spans="1:10" ht="15" customHeight="1" x14ac:dyDescent="0.25">
      <c r="A9" s="31"/>
      <c r="C9" s="99">
        <v>5</v>
      </c>
      <c r="D9" s="104">
        <f>+ACCUM!K103</f>
        <v>33033</v>
      </c>
      <c r="E9" s="102">
        <f t="shared" si="1"/>
        <v>126.56321839080459</v>
      </c>
      <c r="F9" s="192">
        <f t="shared" si="0"/>
        <v>16.87940725600409</v>
      </c>
      <c r="G9" s="31"/>
    </row>
    <row r="10" spans="1:10" ht="15" customHeight="1" x14ac:dyDescent="0.25">
      <c r="A10" s="31"/>
      <c r="C10" s="99">
        <v>6</v>
      </c>
      <c r="D10" s="104">
        <f>+ACCUM!K104</f>
        <v>33785</v>
      </c>
      <c r="E10" s="102">
        <f t="shared" si="1"/>
        <v>129.44444444444446</v>
      </c>
      <c r="F10" s="192">
        <f t="shared" si="0"/>
        <v>17.263668880940216</v>
      </c>
      <c r="G10" s="31"/>
    </row>
    <row r="11" spans="1:10" ht="15" customHeight="1" x14ac:dyDescent="0.25">
      <c r="A11" s="31"/>
      <c r="C11" s="99">
        <v>7</v>
      </c>
      <c r="D11" s="104">
        <f>+ACCUM!K105</f>
        <v>34535</v>
      </c>
      <c r="E11" s="102">
        <f t="shared" si="1"/>
        <v>132.31800766283524</v>
      </c>
      <c r="F11" s="192">
        <f t="shared" si="0"/>
        <v>17.646908533469595</v>
      </c>
      <c r="G11" s="31"/>
    </row>
    <row r="12" spans="1:10" ht="15" customHeight="1" x14ac:dyDescent="0.25">
      <c r="A12" s="31"/>
      <c r="C12" s="99">
        <v>8</v>
      </c>
      <c r="D12" s="104">
        <f>+ACCUM!K106</f>
        <v>35285</v>
      </c>
      <c r="E12" s="102">
        <f t="shared" si="1"/>
        <v>135.19157088122606</v>
      </c>
      <c r="F12" s="192">
        <f t="shared" si="0"/>
        <v>18.030148185998979</v>
      </c>
      <c r="G12" s="31"/>
    </row>
    <row r="13" spans="1:10" ht="15" customHeight="1" x14ac:dyDescent="0.25">
      <c r="A13" s="31"/>
      <c r="C13" s="99">
        <v>9</v>
      </c>
      <c r="D13" s="104">
        <f>+ACCUM!K107</f>
        <v>36035</v>
      </c>
      <c r="E13" s="102">
        <f t="shared" si="1"/>
        <v>138.06513409961687</v>
      </c>
      <c r="F13" s="192">
        <f t="shared" si="0"/>
        <v>18.413387838528358</v>
      </c>
      <c r="G13" s="31"/>
    </row>
    <row r="14" spans="1:10" ht="15" customHeight="1" x14ac:dyDescent="0.25">
      <c r="A14" s="31"/>
      <c r="C14" s="99">
        <v>10</v>
      </c>
      <c r="D14" s="104">
        <f>+ACCUM!K108</f>
        <v>36787</v>
      </c>
      <c r="E14" s="102">
        <f t="shared" si="1"/>
        <v>140.94636015325671</v>
      </c>
      <c r="F14" s="192">
        <f t="shared" si="0"/>
        <v>18.797649463464488</v>
      </c>
      <c r="G14" s="31"/>
      <c r="J14" s="31"/>
    </row>
    <row r="15" spans="1:10" ht="15" customHeight="1" thickBot="1" x14ac:dyDescent="0.3">
      <c r="A15" s="31"/>
      <c r="C15" s="100">
        <v>11</v>
      </c>
      <c r="D15" s="107">
        <f>+ACCUM!K109</f>
        <v>37538</v>
      </c>
      <c r="E15" s="103">
        <f t="shared" si="1"/>
        <v>143.82375478927204</v>
      </c>
      <c r="F15" s="193">
        <f>+D15/1957</f>
        <v>19.181400102197241</v>
      </c>
      <c r="G15" s="31"/>
      <c r="J15" s="31"/>
    </row>
    <row r="16" spans="1:10" ht="15" customHeight="1" x14ac:dyDescent="0.25">
      <c r="A16" s="31"/>
      <c r="B16" s="31"/>
      <c r="C16" s="34"/>
      <c r="D16" s="189"/>
      <c r="E16" s="189"/>
      <c r="F16" s="31"/>
      <c r="G16" s="31"/>
    </row>
    <row r="17" spans="1:7" ht="15" customHeight="1" x14ac:dyDescent="0.25">
      <c r="A17" s="31"/>
      <c r="B17" s="31"/>
      <c r="C17" s="34"/>
      <c r="D17" s="189"/>
      <c r="E17" s="189"/>
      <c r="F17" s="31"/>
      <c r="G17" s="31"/>
    </row>
  </sheetData>
  <mergeCells count="1">
    <mergeCell ref="B2:F2"/>
  </mergeCells>
  <phoneticPr fontId="5" type="noConversion"/>
  <printOptions horizontalCentered="1"/>
  <pageMargins left="0.7" right="0.7" top="0.75" bottom="0.75" header="0.3" footer="0.3"/>
  <pageSetup orientation="landscape" r:id="rId1"/>
  <headerFooter alignWithMargins="0">
    <oddFooter>&amp;L&amp;"Arial,Bold"&amp;F&amp;C&amp;"Arial,Bold"&amp;D &amp;R&amp;"Arial,Bold"Appendix D-4</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1:R30"/>
  <sheetViews>
    <sheetView zoomScale="120" zoomScaleNormal="120" workbookViewId="0">
      <selection activeCell="I20" sqref="I20"/>
    </sheetView>
  </sheetViews>
  <sheetFormatPr defaultColWidth="8.7265625" defaultRowHeight="15" customHeight="1" x14ac:dyDescent="0.25"/>
  <cols>
    <col min="1" max="1" width="3.7265625" style="15" customWidth="1"/>
    <col min="2" max="16384" width="8.7265625" style="15"/>
  </cols>
  <sheetData>
    <row r="1" spans="2:18" ht="15" customHeight="1" thickBot="1" x14ac:dyDescent="0.3"/>
    <row r="2" spans="2:18" s="6" customFormat="1" ht="20.149999999999999" customHeight="1" thickBot="1" x14ac:dyDescent="0.4">
      <c r="B2" s="194" t="s">
        <v>110</v>
      </c>
      <c r="C2" s="196"/>
      <c r="D2" s="196"/>
      <c r="E2" s="196"/>
      <c r="F2" s="196"/>
      <c r="G2" s="196"/>
      <c r="H2" s="196"/>
      <c r="I2" s="196"/>
      <c r="J2" s="196"/>
      <c r="K2" s="196"/>
      <c r="L2" s="196"/>
      <c r="M2" s="196"/>
      <c r="N2" s="196"/>
      <c r="O2" s="197" t="str">
        <f>ACCUM!A3</f>
        <v>FY'23</v>
      </c>
    </row>
    <row r="3" spans="2:18" ht="15" customHeight="1" thickBot="1" x14ac:dyDescent="0.3"/>
    <row r="4" spans="2:18" ht="15" customHeight="1" thickBot="1" x14ac:dyDescent="0.35">
      <c r="B4" s="198" t="s">
        <v>80</v>
      </c>
      <c r="C4" s="199"/>
      <c r="D4" s="199"/>
      <c r="E4" s="199"/>
      <c r="F4" s="199"/>
      <c r="G4" s="199"/>
      <c r="H4" s="199"/>
      <c r="I4" s="199"/>
      <c r="J4" s="199"/>
      <c r="K4" s="199"/>
      <c r="L4" s="199"/>
      <c r="M4" s="199"/>
      <c r="N4" s="199"/>
      <c r="O4" s="200"/>
      <c r="P4" s="55"/>
    </row>
    <row r="5" spans="2:18" ht="15" customHeight="1" thickBot="1" x14ac:dyDescent="0.35">
      <c r="B5" s="201"/>
      <c r="C5" s="177">
        <v>1</v>
      </c>
      <c r="D5" s="177">
        <v>2</v>
      </c>
      <c r="E5" s="177">
        <v>3</v>
      </c>
      <c r="F5" s="177">
        <v>4</v>
      </c>
      <c r="G5" s="177">
        <v>5</v>
      </c>
      <c r="H5" s="177">
        <v>6</v>
      </c>
      <c r="I5" s="177">
        <v>7</v>
      </c>
      <c r="J5" s="177">
        <v>8</v>
      </c>
      <c r="K5" s="177">
        <v>9</v>
      </c>
      <c r="L5" s="177">
        <v>10</v>
      </c>
      <c r="M5" s="177">
        <v>11</v>
      </c>
      <c r="N5" s="177">
        <v>12</v>
      </c>
      <c r="O5" s="178">
        <v>13</v>
      </c>
    </row>
    <row r="6" spans="2:18" ht="15" customHeight="1" x14ac:dyDescent="0.25">
      <c r="B6" s="207" t="s">
        <v>58</v>
      </c>
      <c r="C6" s="182"/>
      <c r="D6" s="182"/>
      <c r="E6" s="182"/>
      <c r="F6" s="182"/>
      <c r="G6" s="182"/>
      <c r="H6" s="182"/>
      <c r="I6" s="182"/>
      <c r="J6" s="182"/>
      <c r="K6" s="182"/>
      <c r="L6" s="182"/>
      <c r="M6" s="182"/>
      <c r="N6" s="182"/>
      <c r="O6" s="183"/>
    </row>
    <row r="7" spans="2:18" ht="15" customHeight="1" x14ac:dyDescent="0.25">
      <c r="B7" s="203" t="s">
        <v>34</v>
      </c>
      <c r="C7" s="180">
        <f>+ACCUM!I99</f>
        <v>21302</v>
      </c>
      <c r="D7" s="180">
        <f>+ACCUM!$I100</f>
        <v>21942</v>
      </c>
      <c r="E7" s="180">
        <f>+ACCUM!$I101</f>
        <v>22602</v>
      </c>
      <c r="F7" s="180">
        <f>+ACCUM!$I102</f>
        <v>23285</v>
      </c>
      <c r="G7" s="180">
        <f>+ACCUM!$I103</f>
        <v>23979</v>
      </c>
      <c r="H7" s="180">
        <f>+ACCUM!$I104</f>
        <v>24698</v>
      </c>
      <c r="I7" s="180">
        <f>+ACCUM!$I105</f>
        <v>25442</v>
      </c>
      <c r="J7" s="180">
        <f>+ACCUM!$I106</f>
        <v>26205</v>
      </c>
      <c r="K7" s="180">
        <f>+ACCUM!$I107</f>
        <v>26989</v>
      </c>
      <c r="L7" s="180">
        <f>+ACCUM!$I108</f>
        <v>27794</v>
      </c>
      <c r="M7" s="180">
        <f>+ACCUM!$I109</f>
        <v>28491</v>
      </c>
      <c r="N7" s="180">
        <f>+ACCUM!$I110</f>
        <v>29198</v>
      </c>
      <c r="O7" s="184">
        <f>+ACCUM!I111</f>
        <v>30229</v>
      </c>
    </row>
    <row r="8" spans="2:18" ht="15" customHeight="1" x14ac:dyDescent="0.25">
      <c r="B8" s="203" t="s">
        <v>46</v>
      </c>
      <c r="C8" s="181">
        <f t="shared" ref="C8:O8" si="0">C7/261</f>
        <v>81.616858237547888</v>
      </c>
      <c r="D8" s="181">
        <f t="shared" si="0"/>
        <v>84.068965517241381</v>
      </c>
      <c r="E8" s="181">
        <f t="shared" ref="E8" si="1">E7/261</f>
        <v>86.597701149425291</v>
      </c>
      <c r="F8" s="181">
        <f t="shared" si="0"/>
        <v>89.214559386973178</v>
      </c>
      <c r="G8" s="181">
        <f t="shared" si="0"/>
        <v>91.8735632183908</v>
      </c>
      <c r="H8" s="181">
        <f t="shared" si="0"/>
        <v>94.628352490421463</v>
      </c>
      <c r="I8" s="181">
        <f t="shared" si="0"/>
        <v>97.47892720306514</v>
      </c>
      <c r="J8" s="181">
        <f t="shared" si="0"/>
        <v>100.40229885057471</v>
      </c>
      <c r="K8" s="181">
        <f t="shared" si="0"/>
        <v>103.40613026819923</v>
      </c>
      <c r="L8" s="181">
        <f t="shared" si="0"/>
        <v>106.4904214559387</v>
      </c>
      <c r="M8" s="181">
        <f t="shared" si="0"/>
        <v>109.16091954022988</v>
      </c>
      <c r="N8" s="181">
        <f t="shared" si="0"/>
        <v>111.86973180076629</v>
      </c>
      <c r="O8" s="185">
        <f t="shared" si="0"/>
        <v>115.8199233716475</v>
      </c>
      <c r="P8" s="31"/>
    </row>
    <row r="9" spans="2:18" ht="15" customHeight="1" thickBot="1" x14ac:dyDescent="0.3">
      <c r="B9" s="205" t="s">
        <v>111</v>
      </c>
      <c r="C9" s="186">
        <f>(C8/7.5)</f>
        <v>10.882247765006385</v>
      </c>
      <c r="D9" s="186">
        <f t="shared" ref="D9:O9" si="2">(D8/7.5)</f>
        <v>11.209195402298851</v>
      </c>
      <c r="E9" s="186">
        <f t="shared" ref="E9" si="3">(E8/7.5)</f>
        <v>11.546360153256705</v>
      </c>
      <c r="F9" s="186">
        <f t="shared" si="2"/>
        <v>11.895274584929757</v>
      </c>
      <c r="G9" s="186">
        <f t="shared" si="2"/>
        <v>12.249808429118774</v>
      </c>
      <c r="H9" s="186">
        <f t="shared" si="2"/>
        <v>12.617113665389528</v>
      </c>
      <c r="I9" s="186">
        <f t="shared" si="2"/>
        <v>12.997190293742019</v>
      </c>
      <c r="J9" s="186">
        <f t="shared" si="2"/>
        <v>13.386973180076629</v>
      </c>
      <c r="K9" s="186">
        <f t="shared" si="2"/>
        <v>13.787484035759897</v>
      </c>
      <c r="L9" s="186">
        <f t="shared" si="2"/>
        <v>14.198722860791827</v>
      </c>
      <c r="M9" s="186">
        <f t="shared" si="2"/>
        <v>14.554789272030652</v>
      </c>
      <c r="N9" s="186">
        <f t="shared" si="2"/>
        <v>14.915964240102172</v>
      </c>
      <c r="O9" s="187">
        <f t="shared" si="2"/>
        <v>15.442656449553001</v>
      </c>
      <c r="P9" s="31"/>
    </row>
    <row r="10" spans="2:18" ht="15" customHeight="1" x14ac:dyDescent="0.25">
      <c r="B10" s="207" t="s">
        <v>59</v>
      </c>
      <c r="C10" s="182"/>
      <c r="D10" s="182"/>
      <c r="E10" s="182"/>
      <c r="F10" s="182"/>
      <c r="G10" s="182"/>
      <c r="H10" s="182"/>
      <c r="I10" s="182"/>
      <c r="J10" s="182"/>
      <c r="K10" s="182"/>
      <c r="L10" s="182"/>
      <c r="M10" s="182"/>
      <c r="N10" s="182"/>
      <c r="O10" s="183"/>
    </row>
    <row r="11" spans="2:18" ht="15" customHeight="1" x14ac:dyDescent="0.25">
      <c r="B11" s="203" t="s">
        <v>34</v>
      </c>
      <c r="C11" s="180">
        <f>+ACCUM!J99</f>
        <v>23644</v>
      </c>
      <c r="D11" s="180">
        <f>+ACCUM!J100</f>
        <v>24353</v>
      </c>
      <c r="E11" s="180">
        <f>+ACCUM!J101</f>
        <v>25085</v>
      </c>
      <c r="F11" s="180">
        <f>+ACCUM!J102</f>
        <v>25838</v>
      </c>
      <c r="G11" s="180">
        <f>+ACCUM!J103</f>
        <v>26613</v>
      </c>
      <c r="H11" s="180">
        <f>+ACCUM!J104</f>
        <v>27417</v>
      </c>
      <c r="I11" s="180">
        <f>+ACCUM!J105</f>
        <v>28239</v>
      </c>
      <c r="J11" s="180">
        <f>+ACCUM!J106</f>
        <v>29078</v>
      </c>
      <c r="K11" s="180">
        <f>+ACCUM!J107</f>
        <v>29957</v>
      </c>
      <c r="L11" s="180">
        <f>+ACCUM!J108</f>
        <v>30854</v>
      </c>
      <c r="M11" s="180">
        <f>+ACCUM!J109</f>
        <v>31620</v>
      </c>
      <c r="N11" s="180">
        <f>+ACCUM!J110</f>
        <v>32417</v>
      </c>
      <c r="O11" s="184">
        <f>+ACCUM!J111</f>
        <v>33556</v>
      </c>
    </row>
    <row r="12" spans="2:18" ht="15" customHeight="1" x14ac:dyDescent="0.25">
      <c r="B12" s="203" t="s">
        <v>46</v>
      </c>
      <c r="C12" s="181">
        <f t="shared" ref="C12:O12" si="4">C11/261</f>
        <v>90.59003831417624</v>
      </c>
      <c r="D12" s="181">
        <f t="shared" si="4"/>
        <v>93.306513409961681</v>
      </c>
      <c r="E12" s="181">
        <f t="shared" si="4"/>
        <v>96.111111111111114</v>
      </c>
      <c r="F12" s="181">
        <f t="shared" si="4"/>
        <v>98.996168582375475</v>
      </c>
      <c r="G12" s="181">
        <f t="shared" si="4"/>
        <v>101.96551724137932</v>
      </c>
      <c r="H12" s="181">
        <f t="shared" ref="H12" si="5">H11/261</f>
        <v>105.04597701149426</v>
      </c>
      <c r="I12" s="181">
        <f t="shared" si="4"/>
        <v>108.19540229885058</v>
      </c>
      <c r="J12" s="181">
        <f t="shared" si="4"/>
        <v>111.40996168582376</v>
      </c>
      <c r="K12" s="181">
        <f t="shared" si="4"/>
        <v>114.77777777777777</v>
      </c>
      <c r="L12" s="181">
        <f t="shared" si="4"/>
        <v>118.21455938697318</v>
      </c>
      <c r="M12" s="181">
        <f t="shared" si="4"/>
        <v>121.14942528735632</v>
      </c>
      <c r="N12" s="181">
        <f t="shared" si="4"/>
        <v>124.20306513409962</v>
      </c>
      <c r="O12" s="185">
        <f t="shared" si="4"/>
        <v>128.56704980842912</v>
      </c>
    </row>
    <row r="13" spans="2:18" ht="15" customHeight="1" thickBot="1" x14ac:dyDescent="0.3">
      <c r="B13" s="205" t="s">
        <v>111</v>
      </c>
      <c r="C13" s="186">
        <f t="shared" ref="C13:O13" si="6">(C12/7.5)</f>
        <v>12.0786717752235</v>
      </c>
      <c r="D13" s="186">
        <f t="shared" si="6"/>
        <v>12.440868454661558</v>
      </c>
      <c r="E13" s="186">
        <f t="shared" si="6"/>
        <v>12.814814814814815</v>
      </c>
      <c r="F13" s="186">
        <f t="shared" si="6"/>
        <v>13.199489144316731</v>
      </c>
      <c r="G13" s="186">
        <f t="shared" si="6"/>
        <v>13.595402298850576</v>
      </c>
      <c r="H13" s="186">
        <f t="shared" ref="H13" si="7">(H12/7.5)</f>
        <v>14.006130268199234</v>
      </c>
      <c r="I13" s="186">
        <f t="shared" si="6"/>
        <v>14.426053639846744</v>
      </c>
      <c r="J13" s="186">
        <f t="shared" si="6"/>
        <v>14.854661558109834</v>
      </c>
      <c r="K13" s="186">
        <f t="shared" si="6"/>
        <v>15.303703703703702</v>
      </c>
      <c r="L13" s="186">
        <f t="shared" si="6"/>
        <v>15.761941251596424</v>
      </c>
      <c r="M13" s="186">
        <f t="shared" si="6"/>
        <v>16.153256704980844</v>
      </c>
      <c r="N13" s="186">
        <f t="shared" si="6"/>
        <v>16.560408684546616</v>
      </c>
      <c r="O13" s="187">
        <f t="shared" si="6"/>
        <v>17.14227330779055</v>
      </c>
    </row>
    <row r="14" spans="2:18" ht="15" customHeight="1" x14ac:dyDescent="0.25">
      <c r="O14" s="31"/>
      <c r="P14" s="31"/>
      <c r="R14" s="31"/>
    </row>
    <row r="15" spans="2:18" ht="15" customHeight="1" x14ac:dyDescent="0.25">
      <c r="B15" s="15" t="s">
        <v>115</v>
      </c>
    </row>
    <row r="17" spans="2:15" ht="15" customHeight="1" thickBot="1" x14ac:dyDescent="0.3"/>
    <row r="18" spans="2:15" ht="15" customHeight="1" thickBot="1" x14ac:dyDescent="0.35">
      <c r="B18" s="552" t="s">
        <v>240</v>
      </c>
      <c r="C18" s="553"/>
      <c r="D18" s="553"/>
      <c r="E18" s="554"/>
    </row>
    <row r="19" spans="2:15" ht="15" customHeight="1" thickBot="1" x14ac:dyDescent="0.35">
      <c r="B19" s="559" t="s">
        <v>40</v>
      </c>
      <c r="C19" s="560"/>
      <c r="D19" s="559" t="s">
        <v>57</v>
      </c>
      <c r="E19" s="560"/>
      <c r="L19" s="18"/>
      <c r="M19" s="2"/>
      <c r="N19" s="2"/>
      <c r="O19" s="2" t="s">
        <v>0</v>
      </c>
    </row>
    <row r="20" spans="2:15" ht="15" customHeight="1" x14ac:dyDescent="0.25">
      <c r="B20" s="561" t="s">
        <v>58</v>
      </c>
      <c r="C20" s="562"/>
      <c r="D20" s="555">
        <f>+ACCUM!I6</f>
        <v>8.9855999999999998</v>
      </c>
      <c r="E20" s="556"/>
      <c r="L20" s="18"/>
      <c r="M20" s="39"/>
      <c r="N20" s="39"/>
      <c r="O20" s="39" t="s">
        <v>0</v>
      </c>
    </row>
    <row r="21" spans="2:15" ht="15" customHeight="1" x14ac:dyDescent="0.25">
      <c r="B21" s="563" t="s">
        <v>59</v>
      </c>
      <c r="C21" s="564"/>
      <c r="D21" s="555">
        <f>+ACCUM!I7</f>
        <v>9.6407999999999987</v>
      </c>
      <c r="E21" s="556"/>
      <c r="L21" s="18"/>
      <c r="M21" s="39"/>
      <c r="N21" s="39"/>
      <c r="O21" s="39" t="s">
        <v>0</v>
      </c>
    </row>
    <row r="22" spans="2:15" ht="15" customHeight="1" x14ac:dyDescent="0.25">
      <c r="B22" s="563" t="s">
        <v>60</v>
      </c>
      <c r="C22" s="564"/>
      <c r="D22" s="555">
        <f>+ACCUM!I8</f>
        <v>11.1592</v>
      </c>
      <c r="E22" s="556"/>
      <c r="L22" s="195"/>
      <c r="M22" s="39"/>
      <c r="N22" s="39"/>
      <c r="O22" s="39" t="s">
        <v>0</v>
      </c>
    </row>
    <row r="23" spans="2:15" ht="15" customHeight="1" thickBot="1" x14ac:dyDescent="0.3">
      <c r="B23" s="565" t="s">
        <v>84</v>
      </c>
      <c r="C23" s="566"/>
      <c r="D23" s="557">
        <f>+ACCUM!I9</f>
        <v>7.8832000000000004</v>
      </c>
      <c r="E23" s="558"/>
      <c r="L23" s="195"/>
      <c r="M23" s="39"/>
      <c r="N23" s="39"/>
      <c r="O23" s="39" t="s">
        <v>0</v>
      </c>
    </row>
    <row r="26" spans="2:15" ht="15" customHeight="1" x14ac:dyDescent="0.25">
      <c r="B26" s="18"/>
      <c r="C26" s="18"/>
      <c r="I26" s="39"/>
    </row>
    <row r="27" spans="2:15" ht="15" customHeight="1" x14ac:dyDescent="0.25">
      <c r="C27" s="18"/>
    </row>
    <row r="28" spans="2:15" ht="15" customHeight="1" x14ac:dyDescent="0.25">
      <c r="C28" s="18"/>
    </row>
    <row r="30" spans="2:15" ht="15" customHeight="1" x14ac:dyDescent="0.25">
      <c r="B30" s="15" t="s">
        <v>0</v>
      </c>
    </row>
  </sheetData>
  <mergeCells count="11">
    <mergeCell ref="B18:E18"/>
    <mergeCell ref="D22:E22"/>
    <mergeCell ref="D23:E23"/>
    <mergeCell ref="D19:E19"/>
    <mergeCell ref="D20:E20"/>
    <mergeCell ref="D21:E21"/>
    <mergeCell ref="B19:C19"/>
    <mergeCell ref="B20:C20"/>
    <mergeCell ref="B21:C21"/>
    <mergeCell ref="B22:C22"/>
    <mergeCell ref="B23:C23"/>
  </mergeCells>
  <phoneticPr fontId="5" type="noConversion"/>
  <printOptions horizontalCentered="1"/>
  <pageMargins left="0.5" right="0.5" top="0.75" bottom="0.5" header="0" footer="0.5"/>
  <pageSetup scale="99" orientation="landscape" r:id="rId1"/>
  <headerFooter alignWithMargins="0">
    <oddFooter>&amp;L&amp;"Arial,Bold"&amp;F&amp;C&amp;"Arial,Bold"&amp;D &amp;R&amp;"Arial,Bold"Appendix D-5</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A1:H25"/>
  <sheetViews>
    <sheetView showGridLines="0" zoomScale="120" zoomScaleNormal="120" workbookViewId="0">
      <selection activeCell="D24" sqref="D24"/>
    </sheetView>
  </sheetViews>
  <sheetFormatPr defaultColWidth="15.54296875" defaultRowHeight="15" customHeight="1" x14ac:dyDescent="0.25"/>
  <cols>
    <col min="1" max="1" width="3.7265625" style="15" customWidth="1"/>
    <col min="2" max="6" width="20.7265625" style="15" customWidth="1"/>
    <col min="7" max="7" width="3.7265625" style="15" customWidth="1"/>
    <col min="8" max="16384" width="15.54296875" style="15"/>
  </cols>
  <sheetData>
    <row r="1" spans="1:8" ht="15" customHeight="1" thickBot="1" x14ac:dyDescent="0.3">
      <c r="B1" s="208"/>
      <c r="C1" s="208"/>
      <c r="D1" s="208"/>
      <c r="E1" s="208"/>
      <c r="F1" s="208"/>
      <c r="G1" s="208"/>
    </row>
    <row r="2" spans="1:8" ht="20.149999999999999" customHeight="1" thickBot="1" x14ac:dyDescent="0.4">
      <c r="B2" s="567" t="s">
        <v>234</v>
      </c>
      <c r="C2" s="568"/>
      <c r="D2" s="568"/>
      <c r="E2" s="568"/>
      <c r="F2" s="213" t="str">
        <f>ACCUM!A3</f>
        <v>FY'23</v>
      </c>
    </row>
    <row r="3" spans="1:8" ht="15" customHeight="1" thickBot="1" x14ac:dyDescent="0.3">
      <c r="A3" s="31"/>
      <c r="B3" s="211"/>
      <c r="C3" s="209"/>
      <c r="D3" s="209"/>
      <c r="E3" s="209"/>
      <c r="F3" s="209"/>
      <c r="G3" s="209"/>
      <c r="H3" s="31"/>
    </row>
    <row r="4" spans="1:8" s="18" customFormat="1" ht="30" customHeight="1" thickBot="1" x14ac:dyDescent="0.35">
      <c r="A4" s="34"/>
      <c r="B4" s="221"/>
      <c r="C4" s="217" t="s">
        <v>94</v>
      </c>
      <c r="D4" s="224" t="s">
        <v>123</v>
      </c>
      <c r="E4" s="217" t="s">
        <v>124</v>
      </c>
      <c r="F4" s="227" t="s">
        <v>125</v>
      </c>
      <c r="G4" s="212"/>
      <c r="H4" s="34"/>
    </row>
    <row r="5" spans="1:8" s="18" customFormat="1" ht="15" customHeight="1" thickBot="1" x14ac:dyDescent="0.35">
      <c r="A5" s="34"/>
      <c r="B5" s="229" t="s">
        <v>81</v>
      </c>
      <c r="C5" s="228" t="s">
        <v>57</v>
      </c>
      <c r="D5" s="229" t="s">
        <v>57</v>
      </c>
      <c r="E5" s="228" t="s">
        <v>57</v>
      </c>
      <c r="F5" s="229" t="s">
        <v>57</v>
      </c>
      <c r="G5" s="212"/>
      <c r="H5" s="34"/>
    </row>
    <row r="6" spans="1:8" ht="15" customHeight="1" x14ac:dyDescent="0.25">
      <c r="A6" s="31"/>
      <c r="B6" s="222">
        <v>1</v>
      </c>
      <c r="C6" s="215">
        <f>+ACCUM!H138</f>
        <v>19.010000000000002</v>
      </c>
      <c r="D6" s="225">
        <f>+ACCUM!K138</f>
        <v>17.27</v>
      </c>
      <c r="E6" s="215">
        <f>+ACCUM!I138</f>
        <v>15.66</v>
      </c>
      <c r="F6" s="225">
        <f>+ACCUM!J138</f>
        <v>13.14</v>
      </c>
      <c r="G6" s="212"/>
      <c r="H6" s="31"/>
    </row>
    <row r="7" spans="1:8" ht="15" customHeight="1" x14ac:dyDescent="0.25">
      <c r="A7" s="31"/>
      <c r="B7" s="222">
        <v>2</v>
      </c>
      <c r="C7" s="215">
        <f>+ACCUM!H139</f>
        <v>19.7</v>
      </c>
      <c r="D7" s="225">
        <f>+ACCUM!K139</f>
        <v>17.809999999999999</v>
      </c>
      <c r="E7" s="215">
        <f>+ACCUM!I139</f>
        <v>16.14</v>
      </c>
      <c r="F7" s="225">
        <f>+ACCUM!J139</f>
        <v>13.57</v>
      </c>
      <c r="G7" s="212"/>
      <c r="H7" s="31"/>
    </row>
    <row r="8" spans="1:8" ht="15" customHeight="1" x14ac:dyDescent="0.25">
      <c r="A8" s="31"/>
      <c r="B8" s="222">
        <v>3</v>
      </c>
      <c r="C8" s="215">
        <f>+ACCUM!H140</f>
        <v>20.36</v>
      </c>
      <c r="D8" s="225">
        <f>+ACCUM!K140</f>
        <v>18.399999999999999</v>
      </c>
      <c r="E8" s="215">
        <f>+ACCUM!I140</f>
        <v>16.68</v>
      </c>
      <c r="F8" s="225">
        <f>+ACCUM!J140</f>
        <v>13.99</v>
      </c>
      <c r="G8" s="212"/>
      <c r="H8" s="31"/>
    </row>
    <row r="9" spans="1:8" ht="15" customHeight="1" x14ac:dyDescent="0.25">
      <c r="A9" s="31"/>
      <c r="B9" s="222">
        <v>4</v>
      </c>
      <c r="C9" s="215">
        <f>+ACCUM!H141</f>
        <v>21.04</v>
      </c>
      <c r="D9" s="225">
        <f>+ACCUM!K141</f>
        <v>19</v>
      </c>
      <c r="E9" s="215">
        <f>+ACCUM!I141</f>
        <v>17.21</v>
      </c>
      <c r="F9" s="225">
        <f>+ACCUM!J141</f>
        <v>14.44</v>
      </c>
      <c r="G9" s="212"/>
      <c r="H9" s="31"/>
    </row>
    <row r="10" spans="1:8" ht="15" customHeight="1" x14ac:dyDescent="0.25">
      <c r="A10" s="31"/>
      <c r="B10" s="222">
        <v>5</v>
      </c>
      <c r="C10" s="215">
        <f>+ACCUM!H142</f>
        <v>21.72</v>
      </c>
      <c r="D10" s="225">
        <f>+ACCUM!K142</f>
        <v>19.61</v>
      </c>
      <c r="E10" s="215">
        <f>+ACCUM!I142</f>
        <v>17.760000000000002</v>
      </c>
      <c r="F10" s="225">
        <f>+ACCUM!J142</f>
        <v>14.91</v>
      </c>
      <c r="G10" s="212"/>
      <c r="H10" s="31"/>
    </row>
    <row r="11" spans="1:8" ht="15" customHeight="1" x14ac:dyDescent="0.25">
      <c r="A11" s="31"/>
      <c r="B11" s="222">
        <v>6</v>
      </c>
      <c r="C11" s="215">
        <f>+ACCUM!H143</f>
        <v>22.41</v>
      </c>
      <c r="D11" s="225">
        <f>+ACCUM!K143</f>
        <v>20.23</v>
      </c>
      <c r="E11" s="215">
        <f>+ACCUM!I143</f>
        <v>18.350000000000001</v>
      </c>
      <c r="F11" s="225">
        <f>+ACCUM!J143</f>
        <v>15.4</v>
      </c>
      <c r="G11" s="212"/>
      <c r="H11" s="31"/>
    </row>
    <row r="12" spans="1:8" ht="15" customHeight="1" x14ac:dyDescent="0.25">
      <c r="A12" s="31"/>
      <c r="B12" s="222">
        <v>7</v>
      </c>
      <c r="C12" s="215">
        <f>+ACCUM!H144</f>
        <v>23.08</v>
      </c>
      <c r="D12" s="225">
        <f>+ACCUM!K144</f>
        <v>20.9</v>
      </c>
      <c r="E12" s="215">
        <f>+ACCUM!I144</f>
        <v>18.95</v>
      </c>
      <c r="F12" s="225">
        <f>+ACCUM!J144</f>
        <v>15.89</v>
      </c>
      <c r="G12" s="212"/>
      <c r="H12" s="31"/>
    </row>
    <row r="13" spans="1:8" ht="15" customHeight="1" x14ac:dyDescent="0.25">
      <c r="A13" s="31"/>
      <c r="B13" s="222">
        <v>8</v>
      </c>
      <c r="C13" s="215">
        <f>+ACCUM!H145</f>
        <v>23.77</v>
      </c>
      <c r="D13" s="225">
        <f>+ACCUM!K145</f>
        <v>21.57</v>
      </c>
      <c r="E13" s="215">
        <f>+ACCUM!I145</f>
        <v>19.54</v>
      </c>
      <c r="F13" s="225">
        <f>+ACCUM!J145</f>
        <v>16.440000000000001</v>
      </c>
      <c r="G13" s="212"/>
      <c r="H13" s="31"/>
    </row>
    <row r="14" spans="1:8" ht="15" customHeight="1" x14ac:dyDescent="0.25">
      <c r="A14" s="31"/>
      <c r="B14" s="222">
        <v>9</v>
      </c>
      <c r="C14" s="215">
        <f>+ACCUM!H146</f>
        <v>24.44</v>
      </c>
      <c r="D14" s="225">
        <f>+ACCUM!K146</f>
        <v>22.27</v>
      </c>
      <c r="E14" s="215">
        <f>+ACCUM!I146</f>
        <v>20.18</v>
      </c>
      <c r="F14" s="225">
        <f>+ACCUM!J146</f>
        <v>16.940000000000001</v>
      </c>
      <c r="G14" s="212"/>
      <c r="H14" s="31"/>
    </row>
    <row r="15" spans="1:8" ht="15" customHeight="1" x14ac:dyDescent="0.25">
      <c r="A15" s="31"/>
      <c r="B15" s="222">
        <v>10</v>
      </c>
      <c r="C15" s="215">
        <f>+ACCUM!H147</f>
        <v>25.12</v>
      </c>
      <c r="D15" s="225">
        <f>+ACCUM!K147</f>
        <v>23.01</v>
      </c>
      <c r="E15" s="215">
        <f>+ACCUM!I147</f>
        <v>20.83</v>
      </c>
      <c r="F15" s="225">
        <f>+ACCUM!J147</f>
        <v>17.5</v>
      </c>
      <c r="G15" s="212"/>
      <c r="H15" s="31"/>
    </row>
    <row r="16" spans="1:8" ht="15" customHeight="1" x14ac:dyDescent="0.25">
      <c r="A16" s="31"/>
      <c r="B16" s="222">
        <v>11</v>
      </c>
      <c r="C16" s="215">
        <f>+ACCUM!H148</f>
        <v>25.79</v>
      </c>
      <c r="D16" s="225">
        <f>+ACCUM!K148</f>
        <v>23.75</v>
      </c>
      <c r="E16" s="215">
        <f>+ACCUM!I148</f>
        <v>21.5</v>
      </c>
      <c r="F16" s="225">
        <f>+ACCUM!J148</f>
        <v>18.05</v>
      </c>
      <c r="G16" s="212"/>
      <c r="H16" s="31"/>
    </row>
    <row r="17" spans="1:8" ht="15" customHeight="1" x14ac:dyDescent="0.25">
      <c r="A17" s="31"/>
      <c r="B17" s="222">
        <v>12</v>
      </c>
      <c r="C17" s="215">
        <f>+ACCUM!H149</f>
        <v>26.48</v>
      </c>
      <c r="D17" s="225">
        <f>+ACCUM!K149</f>
        <v>24.51</v>
      </c>
      <c r="E17" s="215">
        <f>+ACCUM!I149</f>
        <v>22.2</v>
      </c>
      <c r="F17" s="225">
        <f>+ACCUM!J149</f>
        <v>18.63</v>
      </c>
      <c r="G17" s="212"/>
      <c r="H17" s="31"/>
    </row>
    <row r="18" spans="1:8" ht="15" customHeight="1" x14ac:dyDescent="0.25">
      <c r="A18" s="31"/>
      <c r="B18" s="222">
        <v>13</v>
      </c>
      <c r="C18" s="215">
        <f>+ACCUM!H150</f>
        <v>27.15</v>
      </c>
      <c r="D18" s="225">
        <f>+ACCUM!K150</f>
        <v>25.3</v>
      </c>
      <c r="E18" s="215">
        <f>+ACCUM!I150</f>
        <v>22.92</v>
      </c>
      <c r="F18" s="225">
        <f>+ACCUM!J150</f>
        <v>19.12</v>
      </c>
      <c r="G18" s="212"/>
      <c r="H18" s="31"/>
    </row>
    <row r="19" spans="1:8" ht="15" customHeight="1" thickBot="1" x14ac:dyDescent="0.3">
      <c r="A19" s="31"/>
      <c r="B19" s="223">
        <v>14</v>
      </c>
      <c r="C19" s="219">
        <f>+ACCUM!H151</f>
        <v>27.84</v>
      </c>
      <c r="D19" s="226">
        <f>+ACCUM!K151</f>
        <v>26.11</v>
      </c>
      <c r="E19" s="219">
        <f>+ACCUM!I151</f>
        <v>23.66</v>
      </c>
      <c r="F19" s="226">
        <f>+ACCUM!J151</f>
        <v>19.86</v>
      </c>
      <c r="G19" s="212"/>
      <c r="H19" s="31"/>
    </row>
    <row r="20" spans="1:8" ht="15" customHeight="1" x14ac:dyDescent="0.25">
      <c r="A20" s="31"/>
      <c r="B20" s="212"/>
      <c r="C20" s="212"/>
      <c r="D20" s="212"/>
      <c r="E20" s="212"/>
      <c r="F20" s="212"/>
      <c r="G20" s="212"/>
      <c r="H20" s="31"/>
    </row>
    <row r="21" spans="1:8" ht="15" customHeight="1" x14ac:dyDescent="0.25">
      <c r="A21" s="31"/>
      <c r="B21" s="209"/>
      <c r="C21" s="209"/>
      <c r="D21" s="209"/>
      <c r="E21" s="209"/>
      <c r="F21" s="209"/>
      <c r="G21" s="209"/>
      <c r="H21" s="31"/>
    </row>
    <row r="22" spans="1:8" ht="15" customHeight="1" x14ac:dyDescent="0.25">
      <c r="A22" s="31"/>
      <c r="B22" s="209"/>
      <c r="C22" s="209"/>
      <c r="D22" s="209"/>
      <c r="E22" s="209"/>
      <c r="F22" s="209"/>
      <c r="G22" s="209"/>
      <c r="H22" s="31"/>
    </row>
    <row r="23" spans="1:8" ht="15" customHeight="1" x14ac:dyDescent="0.25">
      <c r="A23" s="31"/>
      <c r="B23" s="31"/>
      <c r="C23" s="31"/>
      <c r="D23" s="31"/>
      <c r="E23" s="31"/>
      <c r="F23" s="31"/>
      <c r="G23" s="31"/>
      <c r="H23" s="31"/>
    </row>
    <row r="24" spans="1:8" ht="15" customHeight="1" x14ac:dyDescent="0.25">
      <c r="A24" s="31"/>
      <c r="B24" s="31"/>
      <c r="C24" s="31"/>
      <c r="D24" s="31"/>
      <c r="E24" s="31"/>
      <c r="F24" s="31"/>
      <c r="G24" s="31"/>
      <c r="H24" s="31"/>
    </row>
    <row r="25" spans="1:8" ht="15" customHeight="1" x14ac:dyDescent="0.25">
      <c r="A25" s="31"/>
      <c r="B25" s="31"/>
      <c r="C25" s="31"/>
      <c r="D25" s="31"/>
      <c r="E25" s="31"/>
      <c r="F25" s="31"/>
      <c r="G25" s="31"/>
      <c r="H25" s="31"/>
    </row>
  </sheetData>
  <mergeCells count="1">
    <mergeCell ref="B2:E2"/>
  </mergeCells>
  <phoneticPr fontId="5" type="noConversion"/>
  <printOptions horizontalCentered="1"/>
  <pageMargins left="0.7" right="0.7" top="0.75" bottom="0.75" header="0.3" footer="0.3"/>
  <pageSetup orientation="landscape" r:id="rId1"/>
  <headerFooter alignWithMargins="0">
    <oddFooter>&amp;L&amp;"Arial,Bold"&amp;F&amp;C&amp;"Arial,Bold"&amp;D &amp;R&amp;"Arial,Bold"Appendix D-6</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dimension ref="B1:G15"/>
  <sheetViews>
    <sheetView zoomScale="120" zoomScaleNormal="120" workbookViewId="0">
      <selection activeCell="D27" sqref="D27"/>
    </sheetView>
  </sheetViews>
  <sheetFormatPr defaultColWidth="9.1796875" defaultRowHeight="15" customHeight="1" x14ac:dyDescent="0.25"/>
  <cols>
    <col min="1" max="1" width="3.7265625" style="31" customWidth="1"/>
    <col min="2" max="2" width="15.54296875" style="31" customWidth="1"/>
    <col min="3" max="6" width="20.7265625" style="31" customWidth="1"/>
    <col min="7" max="7" width="15.54296875" style="31" customWidth="1"/>
    <col min="8" max="8" width="3.7265625" style="31" customWidth="1"/>
    <col min="9" max="16384" width="9.1796875" style="31"/>
  </cols>
  <sheetData>
    <row r="1" spans="2:7" ht="15" customHeight="1" thickBot="1" x14ac:dyDescent="0.3"/>
    <row r="2" spans="2:7" s="111" customFormat="1" ht="20.149999999999999" customHeight="1" thickBot="1" x14ac:dyDescent="0.4">
      <c r="B2" s="268" t="s">
        <v>235</v>
      </c>
      <c r="C2" s="269"/>
      <c r="D2" s="269"/>
      <c r="E2" s="269"/>
      <c r="F2" s="269"/>
      <c r="G2" s="97" t="str">
        <f>ACCUM!A3</f>
        <v>FY'23</v>
      </c>
    </row>
    <row r="3" spans="2:7" s="19" customFormat="1" ht="20.149999999999999" customHeight="1" thickBot="1" x14ac:dyDescent="0.35">
      <c r="B3" s="238"/>
      <c r="C3" s="239"/>
      <c r="D3" s="239"/>
      <c r="E3" s="239"/>
      <c r="F3" s="239"/>
      <c r="G3" s="28"/>
    </row>
    <row r="4" spans="2:7" ht="15" customHeight="1" thickBot="1" x14ac:dyDescent="0.35">
      <c r="C4" s="101" t="s">
        <v>81</v>
      </c>
      <c r="D4" s="123" t="s">
        <v>236</v>
      </c>
      <c r="E4" s="101" t="s">
        <v>46</v>
      </c>
      <c r="F4" s="202" t="s">
        <v>111</v>
      </c>
    </row>
    <row r="5" spans="2:7" ht="15" customHeight="1" x14ac:dyDescent="0.25">
      <c r="C5" s="117">
        <v>0</v>
      </c>
      <c r="D5" s="112">
        <f>+ACCUM!J76</f>
        <v>32033</v>
      </c>
      <c r="E5" s="192">
        <f>+D5/192</f>
        <v>166.83854166666666</v>
      </c>
      <c r="F5" s="236">
        <f t="shared" ref="F5:F15" si="0">+E5/7.5</f>
        <v>22.245138888888889</v>
      </c>
    </row>
    <row r="6" spans="2:7" ht="15" customHeight="1" x14ac:dyDescent="0.25">
      <c r="C6" s="117">
        <v>1</v>
      </c>
      <c r="D6" s="112">
        <f>+ACCUM!J77</f>
        <v>33272</v>
      </c>
      <c r="E6" s="192">
        <f t="shared" ref="E6:E15" si="1">+D6/192</f>
        <v>173.29166666666666</v>
      </c>
      <c r="F6" s="236">
        <f t="shared" si="0"/>
        <v>23.105555555555554</v>
      </c>
    </row>
    <row r="7" spans="2:7" ht="15" customHeight="1" x14ac:dyDescent="0.25">
      <c r="C7" s="117">
        <v>2</v>
      </c>
      <c r="D7" s="112">
        <f>+ACCUM!J78</f>
        <v>34503</v>
      </c>
      <c r="E7" s="192">
        <f t="shared" si="1"/>
        <v>179.703125</v>
      </c>
      <c r="F7" s="236">
        <f t="shared" si="0"/>
        <v>23.960416666666667</v>
      </c>
    </row>
    <row r="8" spans="2:7" ht="15" customHeight="1" x14ac:dyDescent="0.25">
      <c r="C8" s="117">
        <v>3</v>
      </c>
      <c r="D8" s="112">
        <f>+ACCUM!J79</f>
        <v>35721</v>
      </c>
      <c r="E8" s="192">
        <f t="shared" si="1"/>
        <v>186.046875</v>
      </c>
      <c r="F8" s="236">
        <f t="shared" si="0"/>
        <v>24.806249999999999</v>
      </c>
    </row>
    <row r="9" spans="2:7" ht="15" customHeight="1" x14ac:dyDescent="0.25">
      <c r="C9" s="117">
        <v>4</v>
      </c>
      <c r="D9" s="112">
        <f>+ACCUM!J80</f>
        <v>36943</v>
      </c>
      <c r="E9" s="192">
        <f t="shared" si="1"/>
        <v>192.41145833333334</v>
      </c>
      <c r="F9" s="236">
        <f t="shared" si="0"/>
        <v>25.654861111111114</v>
      </c>
    </row>
    <row r="10" spans="2:7" ht="15" customHeight="1" x14ac:dyDescent="0.25">
      <c r="C10" s="117">
        <v>5</v>
      </c>
      <c r="D10" s="112">
        <f>+ACCUM!J81</f>
        <v>38161</v>
      </c>
      <c r="E10" s="192">
        <f t="shared" si="1"/>
        <v>198.75520833333334</v>
      </c>
      <c r="F10" s="236">
        <f t="shared" si="0"/>
        <v>26.500694444444445</v>
      </c>
    </row>
    <row r="11" spans="2:7" ht="15" customHeight="1" x14ac:dyDescent="0.25">
      <c r="C11" s="117">
        <v>6</v>
      </c>
      <c r="D11" s="112">
        <f>+ACCUM!J82</f>
        <v>39446</v>
      </c>
      <c r="E11" s="192">
        <f t="shared" si="1"/>
        <v>205.44791666666666</v>
      </c>
      <c r="F11" s="236">
        <f t="shared" si="0"/>
        <v>27.393055555555556</v>
      </c>
    </row>
    <row r="12" spans="2:7" ht="15" customHeight="1" x14ac:dyDescent="0.25">
      <c r="C12" s="117">
        <v>7</v>
      </c>
      <c r="D12" s="112">
        <f>+ACCUM!J83</f>
        <v>40739</v>
      </c>
      <c r="E12" s="192">
        <f t="shared" si="1"/>
        <v>212.18229166666666</v>
      </c>
      <c r="F12" s="236">
        <f t="shared" si="0"/>
        <v>28.290972222222219</v>
      </c>
    </row>
    <row r="13" spans="2:7" ht="15" customHeight="1" x14ac:dyDescent="0.25">
      <c r="C13" s="117">
        <v>8</v>
      </c>
      <c r="D13" s="112">
        <f>+ACCUM!J84</f>
        <v>42032</v>
      </c>
      <c r="E13" s="192">
        <f t="shared" si="1"/>
        <v>218.91666666666666</v>
      </c>
      <c r="F13" s="236">
        <f t="shared" si="0"/>
        <v>29.188888888888886</v>
      </c>
    </row>
    <row r="14" spans="2:7" ht="15" customHeight="1" x14ac:dyDescent="0.25">
      <c r="C14" s="117">
        <v>9</v>
      </c>
      <c r="D14" s="112">
        <f>+ACCUM!J85</f>
        <v>43349</v>
      </c>
      <c r="E14" s="192">
        <f t="shared" si="1"/>
        <v>225.77604166666666</v>
      </c>
      <c r="F14" s="236">
        <f t="shared" si="0"/>
        <v>30.103472222222219</v>
      </c>
    </row>
    <row r="15" spans="2:7" ht="15" customHeight="1" thickBot="1" x14ac:dyDescent="0.3">
      <c r="C15" s="118">
        <v>10</v>
      </c>
      <c r="D15" s="126">
        <f>+ACCUM!J86</f>
        <v>44336</v>
      </c>
      <c r="E15" s="193">
        <f t="shared" si="1"/>
        <v>230.91666666666666</v>
      </c>
      <c r="F15" s="237">
        <f t="shared" si="0"/>
        <v>30.788888888888888</v>
      </c>
    </row>
  </sheetData>
  <phoneticPr fontId="5" type="noConversion"/>
  <pageMargins left="0.7" right="0.7" top="0.75" bottom="0.75" header="0.3" footer="0.3"/>
  <pageSetup orientation="landscape" r:id="rId1"/>
  <headerFooter alignWithMargins="0">
    <oddFooter>&amp;L&amp;"Arial,Bold"&amp;F&amp;C&amp;"Arial,Bold"&amp;D&amp;R&amp;"Arial,Bold"Appendix D-9</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1:F12"/>
  <sheetViews>
    <sheetView zoomScale="120" zoomScaleNormal="120" workbookViewId="0">
      <selection activeCell="C4" sqref="C4:E4"/>
    </sheetView>
  </sheetViews>
  <sheetFormatPr defaultRowHeight="15" customHeight="1" x14ac:dyDescent="0.25"/>
  <cols>
    <col min="1" max="1" width="3.7265625" customWidth="1"/>
    <col min="2" max="2" width="20.7265625" customWidth="1"/>
    <col min="3" max="3" width="30.7265625" customWidth="1"/>
    <col min="4" max="6" width="20.7265625" customWidth="1"/>
    <col min="7" max="7" width="3.7265625" customWidth="1"/>
  </cols>
  <sheetData>
    <row r="1" spans="2:6" ht="15" customHeight="1" thickBot="1" x14ac:dyDescent="0.3">
      <c r="B1" s="1"/>
      <c r="C1" s="1"/>
      <c r="D1" s="1"/>
    </row>
    <row r="2" spans="2:6" s="6" customFormat="1" ht="20.149999999999999" customHeight="1" thickBot="1" x14ac:dyDescent="0.4">
      <c r="B2" s="526" t="s">
        <v>237</v>
      </c>
      <c r="C2" s="527"/>
      <c r="D2" s="527"/>
      <c r="E2" s="527"/>
      <c r="F2" s="116" t="str">
        <f>ACCUM!A3</f>
        <v>FY'23</v>
      </c>
    </row>
    <row r="3" spans="2:6" ht="15" customHeight="1" thickBot="1" x14ac:dyDescent="0.3"/>
    <row r="4" spans="2:6" ht="15" customHeight="1" thickBot="1" x14ac:dyDescent="0.35">
      <c r="C4" s="166" t="s">
        <v>41</v>
      </c>
      <c r="D4" s="123" t="s">
        <v>67</v>
      </c>
      <c r="E4" s="202" t="s">
        <v>64</v>
      </c>
    </row>
    <row r="5" spans="2:6" ht="15" customHeight="1" x14ac:dyDescent="0.25">
      <c r="C5" s="174" t="s">
        <v>42</v>
      </c>
      <c r="D5" s="240">
        <f>+ACCUM!D18</f>
        <v>36562.239999999998</v>
      </c>
      <c r="E5" s="130">
        <f>+ACCUM!F18</f>
        <v>51796.160000000003</v>
      </c>
    </row>
    <row r="6" spans="2:6" ht="15" customHeight="1" thickBot="1" x14ac:dyDescent="0.3">
      <c r="C6" s="175"/>
      <c r="D6" s="241">
        <f>(D5/261/8)</f>
        <v>17.510651340996169</v>
      </c>
      <c r="E6" s="235">
        <f>(E5/261/8)</f>
        <v>24.806590038314177</v>
      </c>
    </row>
    <row r="7" spans="2:6" ht="15" customHeight="1" x14ac:dyDescent="0.25">
      <c r="C7" s="174" t="s">
        <v>43</v>
      </c>
      <c r="D7" s="240">
        <f>+ACCUM!D19</f>
        <v>41135.120000000003</v>
      </c>
      <c r="E7" s="130">
        <f>+ACCUM!F19</f>
        <v>56368</v>
      </c>
    </row>
    <row r="8" spans="2:6" ht="15" customHeight="1" thickBot="1" x14ac:dyDescent="0.3">
      <c r="C8" s="175"/>
      <c r="D8" s="241">
        <f>(D7/261/8)</f>
        <v>19.700727969348659</v>
      </c>
      <c r="E8" s="235">
        <f>(E7/261/8)</f>
        <v>26.996168582375478</v>
      </c>
    </row>
    <row r="9" spans="2:6" ht="15" customHeight="1" x14ac:dyDescent="0.25">
      <c r="C9" s="242" t="s">
        <v>126</v>
      </c>
      <c r="D9" s="240">
        <f>+ACCUM!D20</f>
        <v>69208.88</v>
      </c>
      <c r="E9" s="130">
        <f>+ACCUM!F20</f>
        <v>86511.360000000001</v>
      </c>
    </row>
    <row r="10" spans="2:6" ht="15" customHeight="1" thickBot="1" x14ac:dyDescent="0.3">
      <c r="C10" s="155"/>
      <c r="D10" s="241">
        <f>(D9/261/8)</f>
        <v>33.146015325670497</v>
      </c>
      <c r="E10" s="235">
        <f>(E9/261/8)</f>
        <v>41.432643678160922</v>
      </c>
    </row>
    <row r="11" spans="2:6" ht="15" customHeight="1" x14ac:dyDescent="0.25">
      <c r="C11" s="242" t="s">
        <v>217</v>
      </c>
      <c r="D11" s="240">
        <f>+ACCUM!D21</f>
        <v>54844.4</v>
      </c>
      <c r="E11" s="130">
        <f>+ACCUM!F21</f>
        <v>95979.520000000004</v>
      </c>
    </row>
    <row r="12" spans="2:6" ht="15" customHeight="1" thickBot="1" x14ac:dyDescent="0.3">
      <c r="C12" s="175"/>
      <c r="D12" s="241">
        <f>(D11/261/8)</f>
        <v>26.266475095785442</v>
      </c>
      <c r="E12" s="235">
        <f>(E11/261/8)</f>
        <v>45.9672030651341</v>
      </c>
    </row>
  </sheetData>
  <mergeCells count="1">
    <mergeCell ref="B2:E2"/>
  </mergeCells>
  <phoneticPr fontId="5" type="noConversion"/>
  <printOptions horizontalCentered="1"/>
  <pageMargins left="0.7" right="0.7" top="0.75" bottom="0.75" header="0.3" footer="0.3"/>
  <pageSetup orientation="landscape" r:id="rId1"/>
  <headerFooter alignWithMargins="0">
    <oddFooter>&amp;L&amp;"Arial,Bold"&amp;F&amp;C&amp;"Arial,Bold"&amp;D &amp;R&amp;"Arial,Bold"Appendix D-10</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1:H15"/>
  <sheetViews>
    <sheetView zoomScale="120" zoomScaleNormal="120" workbookViewId="0">
      <selection activeCell="D29" sqref="D29"/>
    </sheetView>
  </sheetViews>
  <sheetFormatPr defaultColWidth="9.1796875" defaultRowHeight="12.5" x14ac:dyDescent="0.25"/>
  <cols>
    <col min="1" max="1" width="3.7265625" style="15" customWidth="1"/>
    <col min="2" max="2" width="15.54296875" style="15" customWidth="1"/>
    <col min="3" max="6" width="22.7265625" style="15" customWidth="1"/>
    <col min="7" max="7" width="15.54296875" style="15" customWidth="1"/>
    <col min="8" max="8" width="3.7265625" style="15" customWidth="1"/>
    <col min="9" max="16384" width="9.1796875" style="15"/>
  </cols>
  <sheetData>
    <row r="1" spans="2:8" ht="13.5" thickBot="1" x14ac:dyDescent="0.35">
      <c r="C1" s="14"/>
      <c r="D1" s="14"/>
      <c r="E1" s="14"/>
      <c r="F1" s="14"/>
      <c r="G1" s="14"/>
    </row>
    <row r="2" spans="2:8" s="6" customFormat="1" ht="20.149999999999999" customHeight="1" thickBot="1" x14ac:dyDescent="0.4">
      <c r="B2" s="267" t="s">
        <v>120</v>
      </c>
      <c r="C2" s="114"/>
      <c r="D2" s="114"/>
      <c r="E2" s="114"/>
      <c r="F2" s="114"/>
      <c r="G2" s="116" t="str">
        <f>ACCUM!A3</f>
        <v>FY'23</v>
      </c>
    </row>
    <row r="3" spans="2:8" ht="13" thickBot="1" x14ac:dyDescent="0.3">
      <c r="B3" s="31"/>
      <c r="C3" s="31"/>
      <c r="D3" s="31"/>
      <c r="E3" s="31"/>
      <c r="F3" s="31"/>
      <c r="G3" s="31"/>
    </row>
    <row r="4" spans="2:8" ht="13.5" thickBot="1" x14ac:dyDescent="0.35">
      <c r="B4" s="31"/>
      <c r="C4" s="201" t="s">
        <v>82</v>
      </c>
      <c r="D4" s="101" t="s">
        <v>78</v>
      </c>
      <c r="E4" s="101" t="s">
        <v>216</v>
      </c>
      <c r="F4" s="202" t="s">
        <v>114</v>
      </c>
      <c r="G4" s="31"/>
    </row>
    <row r="5" spans="2:8" x14ac:dyDescent="0.25">
      <c r="B5" s="31"/>
      <c r="C5" s="188">
        <v>1</v>
      </c>
      <c r="D5" s="245">
        <f>+ACCUM!K77</f>
        <v>32150</v>
      </c>
      <c r="E5" s="192">
        <f>+D5/196</f>
        <v>164.03061224489795</v>
      </c>
      <c r="F5" s="243">
        <f>+E5/7.5</f>
        <v>21.870748299319725</v>
      </c>
      <c r="G5" s="31"/>
    </row>
    <row r="6" spans="2:8" x14ac:dyDescent="0.25">
      <c r="B6" s="31"/>
      <c r="C6" s="188">
        <v>2</v>
      </c>
      <c r="D6" s="245">
        <f>+ACCUM!K78</f>
        <v>33385</v>
      </c>
      <c r="E6" s="192">
        <f t="shared" ref="E6:E14" si="0">+D6/196</f>
        <v>170.33163265306123</v>
      </c>
      <c r="F6" s="243">
        <f t="shared" ref="F6:F14" si="1">+E6/7.5</f>
        <v>22.710884353741498</v>
      </c>
      <c r="G6" s="31"/>
    </row>
    <row r="7" spans="2:8" x14ac:dyDescent="0.25">
      <c r="B7" s="31"/>
      <c r="C7" s="188">
        <v>3</v>
      </c>
      <c r="D7" s="245">
        <f>+ACCUM!K79</f>
        <v>34437</v>
      </c>
      <c r="E7" s="192">
        <f t="shared" si="0"/>
        <v>175.69897959183675</v>
      </c>
      <c r="F7" s="243">
        <f t="shared" si="1"/>
        <v>23.4265306122449</v>
      </c>
      <c r="G7" s="31"/>
    </row>
    <row r="8" spans="2:8" x14ac:dyDescent="0.25">
      <c r="B8" s="31"/>
      <c r="C8" s="188">
        <v>4</v>
      </c>
      <c r="D8" s="245">
        <f>+ACCUM!K80</f>
        <v>35469</v>
      </c>
      <c r="E8" s="192">
        <f t="shared" si="0"/>
        <v>180.96428571428572</v>
      </c>
      <c r="F8" s="243">
        <f t="shared" si="1"/>
        <v>24.12857142857143</v>
      </c>
      <c r="G8" s="31"/>
    </row>
    <row r="9" spans="2:8" x14ac:dyDescent="0.25">
      <c r="B9" s="31"/>
      <c r="C9" s="188">
        <v>5</v>
      </c>
      <c r="D9" s="245">
        <f>+ACCUM!K81</f>
        <v>36631</v>
      </c>
      <c r="E9" s="192">
        <f t="shared" si="0"/>
        <v>186.89285714285714</v>
      </c>
      <c r="F9" s="243">
        <f t="shared" si="1"/>
        <v>24.919047619047618</v>
      </c>
      <c r="G9" s="31"/>
    </row>
    <row r="10" spans="2:8" x14ac:dyDescent="0.25">
      <c r="B10" s="31"/>
      <c r="C10" s="188">
        <v>6</v>
      </c>
      <c r="D10" s="245">
        <f>+ACCUM!K82</f>
        <v>37725</v>
      </c>
      <c r="E10" s="192">
        <f t="shared" si="0"/>
        <v>192.47448979591837</v>
      </c>
      <c r="F10" s="243">
        <f t="shared" si="1"/>
        <v>25.663265306122451</v>
      </c>
      <c r="G10" s="31"/>
    </row>
    <row r="11" spans="2:8" x14ac:dyDescent="0.25">
      <c r="B11" s="31"/>
      <c r="C11" s="188">
        <v>7</v>
      </c>
      <c r="D11" s="245">
        <f>+ACCUM!K83</f>
        <v>38886</v>
      </c>
      <c r="E11" s="192">
        <f t="shared" si="0"/>
        <v>198.39795918367346</v>
      </c>
      <c r="F11" s="243">
        <f t="shared" si="1"/>
        <v>26.453061224489794</v>
      </c>
      <c r="G11" s="31"/>
      <c r="H11" s="31"/>
    </row>
    <row r="12" spans="2:8" x14ac:dyDescent="0.25">
      <c r="B12" s="31"/>
      <c r="C12" s="188">
        <v>8</v>
      </c>
      <c r="D12" s="245">
        <f>+ACCUM!K84</f>
        <v>40020</v>
      </c>
      <c r="E12" s="192">
        <f t="shared" si="0"/>
        <v>204.18367346938774</v>
      </c>
      <c r="F12" s="243">
        <f t="shared" si="1"/>
        <v>27.224489795918366</v>
      </c>
      <c r="G12" s="31"/>
      <c r="H12" s="31"/>
    </row>
    <row r="13" spans="2:8" x14ac:dyDescent="0.25">
      <c r="B13" s="31"/>
      <c r="C13" s="188">
        <v>9</v>
      </c>
      <c r="D13" s="245">
        <f>+ACCUM!K85</f>
        <v>41338</v>
      </c>
      <c r="E13" s="192">
        <f t="shared" si="0"/>
        <v>210.90816326530611</v>
      </c>
      <c r="F13" s="243">
        <f t="shared" si="1"/>
        <v>28.121088435374148</v>
      </c>
      <c r="G13" s="31"/>
    </row>
    <row r="14" spans="2:8" ht="13" thickBot="1" x14ac:dyDescent="0.3">
      <c r="B14" s="31"/>
      <c r="C14" s="176">
        <v>10</v>
      </c>
      <c r="D14" s="246">
        <f>+ACCUM!K86</f>
        <v>42277</v>
      </c>
      <c r="E14" s="193">
        <f t="shared" si="0"/>
        <v>215.69897959183675</v>
      </c>
      <c r="F14" s="244">
        <f t="shared" si="1"/>
        <v>28.759863945578232</v>
      </c>
      <c r="G14" s="31"/>
    </row>
    <row r="15" spans="2:8" x14ac:dyDescent="0.25">
      <c r="B15" s="31"/>
      <c r="C15" s="31"/>
      <c r="D15" s="31"/>
      <c r="E15" s="31"/>
      <c r="F15" s="31"/>
      <c r="G15" s="31"/>
    </row>
  </sheetData>
  <phoneticPr fontId="5" type="noConversion"/>
  <printOptions horizontalCentered="1"/>
  <pageMargins left="0.7" right="0.7" top="0.75" bottom="0.75" header="0.3" footer="0.3"/>
  <pageSetup scale="96" fitToHeight="0" orientation="landscape" r:id="rId1"/>
  <headerFooter alignWithMargins="0">
    <oddFooter>&amp;L&amp;"Arial,Bold"&amp;F&amp;C&amp;"Arial,Bold"&amp;D &amp;R&amp;"Arial,Bold"Appendix D-11</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81CDC4F5F33004288EF8CE272E1C0A7" ma:contentTypeVersion="15" ma:contentTypeDescription="Create a new document." ma:contentTypeScope="" ma:versionID="d38b79ea01d581e41b0cbe94d454b34c">
  <xsd:schema xmlns:xsd="http://www.w3.org/2001/XMLSchema" xmlns:xs="http://www.w3.org/2001/XMLSchema" xmlns:p="http://schemas.microsoft.com/office/2006/metadata/properties" xmlns:ns1="http://schemas.microsoft.com/sharepoint/v3" xmlns:ns3="2add34c5-7df0-420e-8b71-301032458f2d" xmlns:ns4="e74e6d64-9086-4c1f-b0bd-07cd5d3d228d" targetNamespace="http://schemas.microsoft.com/office/2006/metadata/properties" ma:root="true" ma:fieldsID="14f2a812f5944d5d696a55a9973bd2ac" ns1:_="" ns3:_="" ns4:_="">
    <xsd:import namespace="http://schemas.microsoft.com/sharepoint/v3"/>
    <xsd:import namespace="2add34c5-7df0-420e-8b71-301032458f2d"/>
    <xsd:import namespace="e74e6d64-9086-4c1f-b0bd-07cd5d3d228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1:_ip_UnifiedCompliancePolicyProperties" minOccurs="0"/>
                <xsd:element ref="ns1:_ip_UnifiedCompliancePolicyUIAction" minOccurs="0"/>
                <xsd:element ref="ns4:MediaServiceOCR" minOccurs="0"/>
                <xsd:element ref="ns4:MediaServiceEventHashCode" minOccurs="0"/>
                <xsd:element ref="ns4:MediaServiceGenerationTim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xsd:simpleType>
        <xsd:restriction base="dms:Note"/>
      </xsd:simpleType>
    </xsd:element>
    <xsd:element name="_ip_UnifiedCompliancePolicyUIAction" ma:index="1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add34c5-7df0-420e-8b71-301032458f2d"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4e6d64-9086-4c1f-b0bd-07cd5d3d228d"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Location" ma:index="15" nillable="true" ma:displayName="MediaServiceLocation" ma:description="" ma:internalName="MediaServiceLocation"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104611D-CF14-4913-9196-2BDEDCE20805}">
  <ds:schemaRefs>
    <ds:schemaRef ds:uri="http://schemas.microsoft.com/sharepoint/v3/contenttype/forms"/>
  </ds:schemaRefs>
</ds:datastoreItem>
</file>

<file path=customXml/itemProps2.xml><?xml version="1.0" encoding="utf-8"?>
<ds:datastoreItem xmlns:ds="http://schemas.openxmlformats.org/officeDocument/2006/customXml" ds:itemID="{38487C2D-1AF9-4B2E-96E3-9C27389550CB}">
  <ds:schemaRefs>
    <ds:schemaRef ds:uri="http://schemas.microsoft.com/sharepoint/v3"/>
    <ds:schemaRef ds:uri="http://schemas.microsoft.com/office/2006/metadata/properties"/>
    <ds:schemaRef ds:uri="http://purl.org/dc/elements/1.1/"/>
    <ds:schemaRef ds:uri="http://schemas.microsoft.com/office/2006/documentManagement/types"/>
    <ds:schemaRef ds:uri="http://schemas.microsoft.com/office/infopath/2007/PartnerControls"/>
    <ds:schemaRef ds:uri="http://purl.org/dc/terms/"/>
    <ds:schemaRef ds:uri="http://schemas.openxmlformats.org/package/2006/metadata/core-properties"/>
    <ds:schemaRef ds:uri="http://purl.org/dc/dcmitype/"/>
    <ds:schemaRef ds:uri="e74e6d64-9086-4c1f-b0bd-07cd5d3d228d"/>
    <ds:schemaRef ds:uri="2add34c5-7df0-420e-8b71-301032458f2d"/>
    <ds:schemaRef ds:uri="http://www.w3.org/XML/1998/namespace"/>
  </ds:schemaRefs>
</ds:datastoreItem>
</file>

<file path=customXml/itemProps3.xml><?xml version="1.0" encoding="utf-8"?>
<ds:datastoreItem xmlns:ds="http://schemas.openxmlformats.org/officeDocument/2006/customXml" ds:itemID="{827B63FE-50E7-4D14-BEF6-D993B2C4D1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add34c5-7df0-420e-8b71-301032458f2d"/>
    <ds:schemaRef ds:uri="e74e6d64-9086-4c1f-b0bd-07cd5d3d228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39</vt:i4>
      </vt:variant>
    </vt:vector>
  </HeadingPairs>
  <TitlesOfParts>
    <vt:vector size="80" baseType="lpstr">
      <vt:lpstr>TEACH C-1</vt:lpstr>
      <vt:lpstr>TEACH NEW C-2</vt:lpstr>
      <vt:lpstr>PSYCH C-3</vt:lpstr>
      <vt:lpstr>COORDCOUNS C-4</vt:lpstr>
      <vt:lpstr>PSYCOORDCOUNS NEW C-5</vt:lpstr>
      <vt:lpstr>CATIF C-6</vt:lpstr>
      <vt:lpstr>DATA COORD C-7</vt:lpstr>
      <vt:lpstr>SUPERV LIC C-8</vt:lpstr>
      <vt:lpstr>EP C-9</vt:lpstr>
      <vt:lpstr>EAP C-10</vt:lpstr>
      <vt:lpstr>DEANs C-11</vt:lpstr>
      <vt:lpstr>MSAP C-12</vt:lpstr>
      <vt:lpstr>MSP C-13</vt:lpstr>
      <vt:lpstr>HSAP C-14</vt:lpstr>
      <vt:lpstr>HSP C-15</vt:lpstr>
      <vt:lpstr>PLC C-16</vt:lpstr>
      <vt:lpstr>COACH C-17</vt:lpstr>
      <vt:lpstr>SUBS C-18</vt:lpstr>
      <vt:lpstr>District Support Staff D-1 </vt:lpstr>
      <vt:lpstr>District Support Staff D-2 </vt:lpstr>
      <vt:lpstr>TA D-3</vt:lpstr>
      <vt:lpstr>PARA D-4</vt:lpstr>
      <vt:lpstr>CUS D-5</vt:lpstr>
      <vt:lpstr>CUSN D-6</vt:lpstr>
      <vt:lpstr>FS D-7</vt:lpstr>
      <vt:lpstr>ACCUM</vt:lpstr>
      <vt:lpstr>APP GUIDE</vt:lpstr>
      <vt:lpstr>PSYCs</vt:lpstr>
      <vt:lpstr>OTPT</vt:lpstr>
      <vt:lpstr>RN COOR</vt:lpstr>
      <vt:lpstr>LICSUPVR</vt:lpstr>
      <vt:lpstr>DIR</vt:lpstr>
      <vt:lpstr>INT</vt:lpstr>
      <vt:lpstr>SPMED</vt:lpstr>
      <vt:lpstr>ITC</vt:lpstr>
      <vt:lpstr>ECCDIR</vt:lpstr>
      <vt:lpstr>ECC</vt:lpstr>
      <vt:lpstr>MAIN</vt:lpstr>
      <vt:lpstr>RN</vt:lpstr>
      <vt:lpstr>TECH</vt:lpstr>
      <vt:lpstr>COTA</vt:lpstr>
      <vt:lpstr>'CATIF C-6'!Print_Area</vt:lpstr>
      <vt:lpstr>'COACH C-17'!Print_Area</vt:lpstr>
      <vt:lpstr>'COORDCOUNS C-4'!Print_Area</vt:lpstr>
      <vt:lpstr>COTA!Print_Area</vt:lpstr>
      <vt:lpstr>'CUS D-5'!Print_Area</vt:lpstr>
      <vt:lpstr>'CUSN D-6'!Print_Area</vt:lpstr>
      <vt:lpstr>'DATA COORD C-7'!Print_Area</vt:lpstr>
      <vt:lpstr>'DEANs C-11'!Print_Area</vt:lpstr>
      <vt:lpstr>DIR!Print_Area</vt:lpstr>
      <vt:lpstr>'District Support Staff D-1 '!Print_Area</vt:lpstr>
      <vt:lpstr>'District Support Staff D-2 '!Print_Area</vt:lpstr>
      <vt:lpstr>'EAP C-10'!Print_Area</vt:lpstr>
      <vt:lpstr>ECC!Print_Area</vt:lpstr>
      <vt:lpstr>ECCDIR!Print_Area</vt:lpstr>
      <vt:lpstr>'EP C-9'!Print_Area</vt:lpstr>
      <vt:lpstr>'FS D-7'!Print_Area</vt:lpstr>
      <vt:lpstr>'HSAP C-14'!Print_Area</vt:lpstr>
      <vt:lpstr>'HSP C-15'!Print_Area</vt:lpstr>
      <vt:lpstr>INT!Print_Area</vt:lpstr>
      <vt:lpstr>ITC!Print_Area</vt:lpstr>
      <vt:lpstr>LICSUPVR!Print_Area</vt:lpstr>
      <vt:lpstr>MAIN!Print_Area</vt:lpstr>
      <vt:lpstr>'MSAP C-12'!Print_Area</vt:lpstr>
      <vt:lpstr>'MSP C-13'!Print_Area</vt:lpstr>
      <vt:lpstr>OTPT!Print_Area</vt:lpstr>
      <vt:lpstr>'PARA D-4'!Print_Area</vt:lpstr>
      <vt:lpstr>'PLC C-16'!Print_Area</vt:lpstr>
      <vt:lpstr>'PSYCH C-3'!Print_Area</vt:lpstr>
      <vt:lpstr>'PSYCOORDCOUNS NEW C-5'!Print_Area</vt:lpstr>
      <vt:lpstr>PSYCs!Print_Area</vt:lpstr>
      <vt:lpstr>RN!Print_Area</vt:lpstr>
      <vt:lpstr>'RN COOR'!Print_Area</vt:lpstr>
      <vt:lpstr>SPMED!Print_Area</vt:lpstr>
      <vt:lpstr>'SUBS C-18'!Print_Area</vt:lpstr>
      <vt:lpstr>'SUPERV LIC C-8'!Print_Area</vt:lpstr>
      <vt:lpstr>'TA D-3'!Print_Area</vt:lpstr>
      <vt:lpstr>'TEACH C-1'!Print_Area</vt:lpstr>
      <vt:lpstr>'TEACH NEW C-2'!Print_Area</vt:lpstr>
      <vt:lpstr>TECH!Print_Area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REGINA DUDLEY</dc:creator>
  <cp:lastModifiedBy>Sandra Jones</cp:lastModifiedBy>
  <cp:lastPrinted>2022-05-27T13:26:05Z</cp:lastPrinted>
  <dcterms:created xsi:type="dcterms:W3CDTF">2005-03-03T14:32:44Z</dcterms:created>
  <dcterms:modified xsi:type="dcterms:W3CDTF">2022-06-07T14:55:52Z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0x010100081CDC4F5F33004288EF8CE272E1C0A7</vt:lpwstr>
  </property>
</Properties>
</file>